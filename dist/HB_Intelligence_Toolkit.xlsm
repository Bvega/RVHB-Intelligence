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🏠 Home" sheetId="1" state="visible" r:id="rId3"/>
    <sheet name="📥 Raw Data" sheetId="2" state="visible" r:id="rId4"/>
    <sheet name="📊 YoY Dashboard" sheetId="3" state="visible" r:id="rId5"/>
    <sheet name="📅 Monthly Trends" sheetId="4" state="visible" r:id="rId6"/>
    <sheet name="👥 Top Clients" sheetId="5" state="visible" r:id="rId7"/>
    <sheet name="🏨 Brand Mix" sheetId="6" state="visible" r:id="rId8"/>
  </sheets>
  <definedNames>
    <definedName function="false" hidden="true" localSheetId="1" name="_xlnm._FilterDatabase" vbProcedure="false">'📥 Raw Data'!$A$1:$R$1</definedName>
    <definedName function="false" hidden="false" localSheetId="0" name="status_date" vbProcedure="false">'🏠 Home'!$B$5</definedName>
    <definedName function="false" hidden="false" localSheetId="0" name="status_import" vbProcedure="false">'🏠 Home'!$B$6</definedName>
    <definedName function="false" hidden="false" localSheetId="0" name="status_total" vbProcedure="false">'🏠 Home'!$B$7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<sst xmlns="http://schemas.openxmlformats.org/spreadsheetml/2006/main" count="749" uniqueCount="376">
  <si>
    <t xml:space="preserve">HelmsBriscoe  ·  Intelligence Toolkit</t>
  </si>
  <si>
    <t xml:space="preserve">Annual Performance Intelligence  ·  Version 1.0  ·  2026</t>
  </si>
  <si>
    <t xml:space="preserve">Last updated:  —</t>
  </si>
  <si>
    <t xml:space="preserve">No imports yet — click 'Update with New Report' to begin</t>
  </si>
  <si>
    <t xml:space="preserve">57 total bookings in tracker</t>
  </si>
  <si>
    <t xml:space="preserve">📥  Update with New
Year's Report</t>
  </si>
  <si>
    <t xml:space="preserve">📄  Format RFP
(Module 2)</t>
  </si>
  <si>
    <t xml:space="preserve">📊  Benchmark
(Module 3)</t>
  </si>
  <si>
    <t xml:space="preserve">Import annual master report data</t>
  </si>
  <si>
    <t xml:space="preserve">Generate RFP-ready layout</t>
  </si>
  <si>
    <t xml:space="preserve">Compare vs HB portfolio — coming soon</t>
  </si>
  <si>
    <t xml:space="preserve">QUICK NAVIGATION</t>
  </si>
  <si>
    <t xml:space="preserve">Click a sheet tab below to navigate  ·  or assign these macros: 📊 Dashboard → GoToYoYDashboard | 📅 Monthly → GoToMonthly | 👥 Clients → GoToClients | 🏨 Brands → GoToBrands | 📥 Raw Data → GoToRawData</t>
  </si>
  <si>
    <t xml:space="preserve">ONE-TIME VBA SETUP  —  3 steps, ~30 seconds</t>
  </si>
  <si>
    <t xml:space="preserve">Step 1</t>
  </si>
  <si>
    <t xml:space="preserve">Press  Alt + F11  to open the Visual Basic Editor</t>
  </si>
  <si>
    <t xml:space="preserve">Step 2</t>
  </si>
  <si>
    <t xml:space="preserve">Click  File  &gt;  Import File  (or press Ctrl+M)  →  select HB_Macros.bas</t>
  </si>
  <si>
    <t xml:space="preserve">Step 3</t>
  </si>
  <si>
    <t xml:space="preserve">Close the VBA editor  →  right-click any button above  →  'Assign Macro'  →  type the macro name shown</t>
  </si>
  <si>
    <t xml:space="preserve">HelmsBriscoe Intelligence Toolkit  ·  Confidential  ·  © 2024 HelmsBriscoe</t>
  </si>
  <si>
    <t xml:space="preserve">Booking ID</t>
  </si>
  <si>
    <t xml:space="preserve">Booking Date</t>
  </si>
  <si>
    <t xml:space="preserve">Booking Month</t>
  </si>
  <si>
    <t xml:space="preserve">Booking Quarter</t>
  </si>
  <si>
    <t xml:space="preserve">Booking Year</t>
  </si>
  <si>
    <t xml:space="preserve">Program Name</t>
  </si>
  <si>
    <t xml:space="preserve">Client</t>
  </si>
  <si>
    <t xml:space="preserve">Contract Date</t>
  </si>
  <si>
    <t xml:space="preserve">Program Start Date</t>
  </si>
  <si>
    <t xml:space="preserve">Program End Date</t>
  </si>
  <si>
    <t xml:space="preserve">Property</t>
  </si>
  <si>
    <t xml:space="preserve">Parent Brand</t>
  </si>
  <si>
    <t xml:space="preserve">Brand</t>
  </si>
  <si>
    <t xml:space="preserve">Property City</t>
  </si>
  <si>
    <t xml:space="preserve">Property State</t>
  </si>
  <si>
    <t xml:space="preserve">Property Country</t>
  </si>
  <si>
    <t xml:space="preserve">Room Nights</t>
  </si>
  <si>
    <t xml:space="preserve">Contracted Revenue (USD)</t>
  </si>
  <si>
    <t xml:space="preserve">780946</t>
  </si>
  <si>
    <t xml:space="preserve">01 (January)</t>
  </si>
  <si>
    <t xml:space="preserve">Q1 2022</t>
  </si>
  <si>
    <t xml:space="preserve">CDG - Large City/County CIO Summit 2022</t>
  </si>
  <si>
    <t xml:space="preserve">eRepublic</t>
  </si>
  <si>
    <t xml:space="preserve">Waldorf Astoria - New Orleans Roosevelt</t>
  </si>
  <si>
    <t xml:space="preserve">Hilton</t>
  </si>
  <si>
    <t xml:space="preserve">Waldorf Astoria</t>
  </si>
  <si>
    <t xml:space="preserve">New Orleans</t>
  </si>
  <si>
    <t xml:space="preserve">LA</t>
  </si>
  <si>
    <t xml:space="preserve">United States (USA)</t>
  </si>
  <si>
    <t xml:space="preserve">782690</t>
  </si>
  <si>
    <t xml:space="preserve">MSKCC - The Geoffrey Beene 2022 Retreat</t>
  </si>
  <si>
    <t xml:space="preserve">MSKCC - Memorial Sloan Kettering Cancer Center</t>
  </si>
  <si>
    <t xml:space="preserve">Hyatt Regency - Jersey City</t>
  </si>
  <si>
    <t xml:space="preserve">Hyatt</t>
  </si>
  <si>
    <t xml:space="preserve">Hyatt Regency</t>
  </si>
  <si>
    <t xml:space="preserve">Jersey City</t>
  </si>
  <si>
    <t xml:space="preserve">NJ</t>
  </si>
  <si>
    <t xml:space="preserve">784499</t>
  </si>
  <si>
    <t xml:space="preserve">02 (February)</t>
  </si>
  <si>
    <t xml:space="preserve">ASAA 2022 - 34th Annual Conference</t>
  </si>
  <si>
    <t xml:space="preserve">ASAA - American Society of Aviation Artists</t>
  </si>
  <si>
    <t xml:space="preserve">Best Western Plus - Pooler</t>
  </si>
  <si>
    <t xml:space="preserve">BWH Hotel Group</t>
  </si>
  <si>
    <t xml:space="preserve">Best Western Plus</t>
  </si>
  <si>
    <t xml:space="preserve">Pooler</t>
  </si>
  <si>
    <t xml:space="preserve">GA</t>
  </si>
  <si>
    <t xml:space="preserve">785319</t>
  </si>
  <si>
    <t xml:space="preserve">CDG - DSPI Summit 2022</t>
  </si>
  <si>
    <t xml:space="preserve">Center for Digital Government</t>
  </si>
  <si>
    <t xml:space="preserve">Boston Park Plaza</t>
  </si>
  <si>
    <t xml:space="preserve">Independent Hotels</t>
  </si>
  <si>
    <t xml:space="preserve">Independent</t>
  </si>
  <si>
    <t xml:space="preserve">Boston</t>
  </si>
  <si>
    <t xml:space="preserve">MA</t>
  </si>
  <si>
    <t xml:space="preserve">785675</t>
  </si>
  <si>
    <t xml:space="preserve">TIAA - Sleeping Rooms Only</t>
  </si>
  <si>
    <t xml:space="preserve">TIAA</t>
  </si>
  <si>
    <t xml:space="preserve">Residence Inn - Surfside (Miami Beach)</t>
  </si>
  <si>
    <t xml:space="preserve">Marriott</t>
  </si>
  <si>
    <t xml:space="preserve">Residence Inn</t>
  </si>
  <si>
    <t xml:space="preserve">Surfside</t>
  </si>
  <si>
    <t xml:space="preserve">FL</t>
  </si>
  <si>
    <t xml:space="preserve">787035</t>
  </si>
  <si>
    <t xml:space="preserve">IFAC - FoF 2022</t>
  </si>
  <si>
    <t xml:space="preserve">IFAC - Int'l Federation of Accountants</t>
  </si>
  <si>
    <t xml:space="preserve">Doyle - London Bloomsbury</t>
  </si>
  <si>
    <t xml:space="preserve">Individual Brand</t>
  </si>
  <si>
    <t xml:space="preserve">Doyle Collection</t>
  </si>
  <si>
    <t xml:space="preserve">London</t>
  </si>
  <si>
    <t xml:space="preserve">England, U.K., Europe</t>
  </si>
  <si>
    <t xml:space="preserve">788323</t>
  </si>
  <si>
    <t xml:space="preserve">03 (March)</t>
  </si>
  <si>
    <t xml:space="preserve">21 Grams - Sobi National Advisory Board</t>
  </si>
  <si>
    <t xml:space="preserve">21 Grams</t>
  </si>
  <si>
    <t xml:space="preserve">Autograph Collection - Phoenix Camby</t>
  </si>
  <si>
    <t xml:space="preserve">Autograph Collection</t>
  </si>
  <si>
    <t xml:space="preserve">Phoenix</t>
  </si>
  <si>
    <t xml:space="preserve">AZ</t>
  </si>
  <si>
    <t xml:space="preserve">788309</t>
  </si>
  <si>
    <t xml:space="preserve">Teva Pharmaceuticals</t>
  </si>
  <si>
    <t xml:space="preserve">Teva Pharma</t>
  </si>
  <si>
    <t xml:space="preserve">Hyatt Centric - Nashville</t>
  </si>
  <si>
    <t xml:space="preserve">Hyatt Centric</t>
  </si>
  <si>
    <t xml:space="preserve">Nashville</t>
  </si>
  <si>
    <t xml:space="preserve">TN</t>
  </si>
  <si>
    <t xml:space="preserve">789903</t>
  </si>
  <si>
    <t xml:space="preserve">Cardozo School of Law - Forensic College 2022</t>
  </si>
  <si>
    <t xml:space="preserve">Benjamin N Cardozo School of Law</t>
  </si>
  <si>
    <t xml:space="preserve">Moxy - New York City East Village</t>
  </si>
  <si>
    <t xml:space="preserve">MOXY</t>
  </si>
  <si>
    <t xml:space="preserve">New York City</t>
  </si>
  <si>
    <t xml:space="preserve">NY</t>
  </si>
  <si>
    <t xml:space="preserve">791813</t>
  </si>
  <si>
    <t xml:space="preserve">04 (April)</t>
  </si>
  <si>
    <t xml:space="preserve">Q2 2022</t>
  </si>
  <si>
    <t xml:space="preserve">NPAP 2022 (Courtesy Hold) San Diego</t>
  </si>
  <si>
    <t xml:space="preserve">NPAP - Natl Police Accountability Project</t>
  </si>
  <si>
    <t xml:space="preserve">The Westin - San Diego Downtown</t>
  </si>
  <si>
    <t xml:space="preserve">Westin</t>
  </si>
  <si>
    <t xml:space="preserve">San Diego</t>
  </si>
  <si>
    <t xml:space="preserve">CA</t>
  </si>
  <si>
    <t xml:space="preserve">791809</t>
  </si>
  <si>
    <t xml:space="preserve">Cardozo School of Law - Civil Procedure Workshop/Courtesy Hold</t>
  </si>
  <si>
    <t xml:space="preserve">Cardozo School of Law</t>
  </si>
  <si>
    <t xml:space="preserve">Hyatt Place - New York City Chelsea</t>
  </si>
  <si>
    <t xml:space="preserve">Hyatt Place</t>
  </si>
  <si>
    <t xml:space="preserve">792083</t>
  </si>
  <si>
    <t xml:space="preserve">21 Grams - Ferring NE/SE Advisory Board</t>
  </si>
  <si>
    <t xml:space="preserve">Hilton - Short Hills</t>
  </si>
  <si>
    <t xml:space="preserve">Short Hills</t>
  </si>
  <si>
    <t xml:space="preserve">794023</t>
  </si>
  <si>
    <t xml:space="preserve">Fos Feminista - April 2022 (Rooms Only)</t>
  </si>
  <si>
    <t xml:space="preserve">Fos Feminista</t>
  </si>
  <si>
    <t xml:space="preserve">Hyatt Centric - New York City Wall Street</t>
  </si>
  <si>
    <t xml:space="preserve">794237</t>
  </si>
  <si>
    <t xml:space="preserve">FRMA - Courtesy Hold Request</t>
  </si>
  <si>
    <t xml:space="preserve">FRMA - FL Records Mgmt Assn</t>
  </si>
  <si>
    <t xml:space="preserve">Daytona Grande Oceanfront Hotel - Daytona Beach</t>
  </si>
  <si>
    <t xml:space="preserve">Daytona Beach</t>
  </si>
  <si>
    <t xml:space="preserve">795857</t>
  </si>
  <si>
    <t xml:space="preserve">05 (May)</t>
  </si>
  <si>
    <t xml:space="preserve">Cardozo School of Law - Summer Seminar - Jewish Legal and Political Thought (PA)</t>
  </si>
  <si>
    <t xml:space="preserve">Kimpton - Philadelphia Monaco</t>
  </si>
  <si>
    <t xml:space="preserve">IHG</t>
  </si>
  <si>
    <t xml:space="preserve">Kimpton</t>
  </si>
  <si>
    <t xml:space="preserve">Philadelphia</t>
  </si>
  <si>
    <t xml:space="preserve">PA</t>
  </si>
  <si>
    <t xml:space="preserve">795855</t>
  </si>
  <si>
    <t xml:space="preserve">Fos Feminista (June 2022) Rooms Only</t>
  </si>
  <si>
    <t xml:space="preserve">796626</t>
  </si>
  <si>
    <t xml:space="preserve">TIAA-CREF Fund Complex Boards of Trustees (NC)</t>
  </si>
  <si>
    <t xml:space="preserve">Ritz-Carlton - Charlotte (NC)</t>
  </si>
  <si>
    <t xml:space="preserve">Ritz-Carlton</t>
  </si>
  <si>
    <t xml:space="preserve">Charlotte</t>
  </si>
  <si>
    <t xml:space="preserve">NC</t>
  </si>
  <si>
    <t xml:space="preserve">796740</t>
  </si>
  <si>
    <t xml:space="preserve">Cardozo School of Law - Crim Fest Conference 2022</t>
  </si>
  <si>
    <t xml:space="preserve">796739</t>
  </si>
  <si>
    <t xml:space="preserve">URTA 2023</t>
  </si>
  <si>
    <t xml:space="preserve">URTA - University Resident Theater Assn</t>
  </si>
  <si>
    <t xml:space="preserve">Hilton - New York Midtown</t>
  </si>
  <si>
    <t xml:space="preserve">797156</t>
  </si>
  <si>
    <t xml:space="preserve">21 Grams - Sobi  National Advisory Board</t>
  </si>
  <si>
    <t xml:space="preserve">Kimpton - Nashville Aertson</t>
  </si>
  <si>
    <t xml:space="preserve">797683</t>
  </si>
  <si>
    <t xml:space="preserve">06 (June)</t>
  </si>
  <si>
    <t xml:space="preserve">Cardozo School of Law - The Emotion of Disgust (NY)</t>
  </si>
  <si>
    <t xml:space="preserve">Evelyn - New York</t>
  </si>
  <si>
    <t xml:space="preserve">798799</t>
  </si>
  <si>
    <t xml:space="preserve">TIAA 2023 - Executive Committee Retreat (FL)</t>
  </si>
  <si>
    <t xml:space="preserve">St. Regis - Bal Harbour</t>
  </si>
  <si>
    <t xml:space="preserve">St. Regis</t>
  </si>
  <si>
    <t xml:space="preserve">Bal Harbour</t>
  </si>
  <si>
    <t xml:space="preserve">798797</t>
  </si>
  <si>
    <t xml:space="preserve">URTA LAX 2023 - Courtesy Hold</t>
  </si>
  <si>
    <t xml:space="preserve">Marriott - Fullerton at Cal State University</t>
  </si>
  <si>
    <t xml:space="preserve">Fullerton</t>
  </si>
  <si>
    <t xml:space="preserve">800737</t>
  </si>
  <si>
    <t xml:space="preserve">Cresa Chicago - Rooms Only</t>
  </si>
  <si>
    <t xml:space="preserve">Cresa LLC.</t>
  </si>
  <si>
    <t xml:space="preserve">Hoxton - Chicago</t>
  </si>
  <si>
    <t xml:space="preserve">Chicago</t>
  </si>
  <si>
    <t xml:space="preserve">IL</t>
  </si>
  <si>
    <t xml:space="preserve">801256</t>
  </si>
  <si>
    <t xml:space="preserve">21 Grams - Epidiolex Steering Committees - Dallas</t>
  </si>
  <si>
    <t xml:space="preserve">Grand Hyatt - Dallas DFW International Airport</t>
  </si>
  <si>
    <t xml:space="preserve">Grand Hyatt</t>
  </si>
  <si>
    <t xml:space="preserve">Dallas</t>
  </si>
  <si>
    <t xml:space="preserve">TX</t>
  </si>
  <si>
    <t xml:space="preserve">801249</t>
  </si>
  <si>
    <t xml:space="preserve">A4BGU - Zin Gathering 2022</t>
  </si>
  <si>
    <t xml:space="preserve">AABGU - American Associates Ben Gurion University</t>
  </si>
  <si>
    <t xml:space="preserve">Autograph Collection - Scottsdale Adero Resort</t>
  </si>
  <si>
    <t xml:space="preserve">Scottsdale</t>
  </si>
  <si>
    <t xml:space="preserve">803500</t>
  </si>
  <si>
    <t xml:space="preserve">07 (July)</t>
  </si>
  <si>
    <t xml:space="preserve">Q3 2022</t>
  </si>
  <si>
    <t xml:space="preserve">21 Grams Ferring Advisory Board - Denver</t>
  </si>
  <si>
    <t xml:space="preserve">Autograph Collection - Denver Brown Palace</t>
  </si>
  <si>
    <t xml:space="preserve">Denver</t>
  </si>
  <si>
    <t xml:space="preserve">CO</t>
  </si>
  <si>
    <t xml:space="preserve">804212</t>
  </si>
  <si>
    <t xml:space="preserve">CIR- 2022</t>
  </si>
  <si>
    <t xml:space="preserve">CIR - Cosmetic Ingredient Review</t>
  </si>
  <si>
    <t xml:space="preserve">Melrose - Washington Georgetown</t>
  </si>
  <si>
    <t xml:space="preserve">Washington</t>
  </si>
  <si>
    <t xml:space="preserve">DC</t>
  </si>
  <si>
    <t xml:space="preserve">804211</t>
  </si>
  <si>
    <t xml:space="preserve">21 Grams - Ferring Advisory Board - Chicago</t>
  </si>
  <si>
    <t xml:space="preserve">Radisson Blu - Chicago Aqua</t>
  </si>
  <si>
    <t xml:space="preserve">Radisson Americas</t>
  </si>
  <si>
    <t xml:space="preserve">Radisson Blu Americas</t>
  </si>
  <si>
    <t xml:space="preserve">804210</t>
  </si>
  <si>
    <t xml:space="preserve">Hyatt Place - Blacksburg University</t>
  </si>
  <si>
    <t xml:space="preserve">Blacksburg</t>
  </si>
  <si>
    <t xml:space="preserve">VA</t>
  </si>
  <si>
    <t xml:space="preserve">804415</t>
  </si>
  <si>
    <t xml:space="preserve">Cresa Chicago - Rooms Only (Aug)</t>
  </si>
  <si>
    <t xml:space="preserve">Nobu Hotel - Chicago</t>
  </si>
  <si>
    <t xml:space="preserve">805256</t>
  </si>
  <si>
    <t xml:space="preserve">08 (August)</t>
  </si>
  <si>
    <t xml:space="preserve">21 Grams - APP Advisory Board</t>
  </si>
  <si>
    <t xml:space="preserve">806391</t>
  </si>
  <si>
    <t xml:space="preserve">TIAA - Board of Trustees NYC (2022)</t>
  </si>
  <si>
    <t xml:space="preserve">Lotte New York Palace - New York City</t>
  </si>
  <si>
    <t xml:space="preserve">806907</t>
  </si>
  <si>
    <t xml:space="preserve">CDG - Large City/County CIO Summit 2023</t>
  </si>
  <si>
    <t xml:space="preserve">Westin - Atlanta Buckhead</t>
  </si>
  <si>
    <t xml:space="preserve">Atlanta</t>
  </si>
  <si>
    <t xml:space="preserve">807484</t>
  </si>
  <si>
    <t xml:space="preserve">Cresa Spring Meeting 2023</t>
  </si>
  <si>
    <t xml:space="preserve">InterContinental - Atlanta Buckhead</t>
  </si>
  <si>
    <t xml:space="preserve">InterContinental</t>
  </si>
  <si>
    <t xml:space="preserve">808286</t>
  </si>
  <si>
    <t xml:space="preserve">TIAA - Executive Committee Retreat (CT)</t>
  </si>
  <si>
    <t xml:space="preserve">Auberge Resorts Collection - Washington Mayflower Inn &amp; Spa</t>
  </si>
  <si>
    <t xml:space="preserve">Auberge Resorts Collection</t>
  </si>
  <si>
    <t xml:space="preserve">CT</t>
  </si>
  <si>
    <t xml:space="preserve">808271</t>
  </si>
  <si>
    <t xml:space="preserve">Macmillan - NCTE 2022</t>
  </si>
  <si>
    <t xml:space="preserve">Macmillan Group</t>
  </si>
  <si>
    <t xml:space="preserve">Westin - Anaheim Resort</t>
  </si>
  <si>
    <t xml:space="preserve">Anaheim</t>
  </si>
  <si>
    <t xml:space="preserve">808854</t>
  </si>
  <si>
    <t xml:space="preserve">09 (September)</t>
  </si>
  <si>
    <t xml:space="preserve">St. Lukes - Meeting</t>
  </si>
  <si>
    <t xml:space="preserve">St. Lukes</t>
  </si>
  <si>
    <t xml:space="preserve">Sonesta - White Plains Downtown</t>
  </si>
  <si>
    <t xml:space="preserve">Sonesta</t>
  </si>
  <si>
    <t xml:space="preserve">White Plains</t>
  </si>
  <si>
    <t xml:space="preserve">811149</t>
  </si>
  <si>
    <t xml:space="preserve">Cardozo School of Law - Conflict Resolution Conference</t>
  </si>
  <si>
    <t xml:space="preserve">812215</t>
  </si>
  <si>
    <t xml:space="preserve">Fos Feminista - Board Meeting</t>
  </si>
  <si>
    <t xml:space="preserve">Embassy Suites - Santo Domingo</t>
  </si>
  <si>
    <t xml:space="preserve">Embassy Suites</t>
  </si>
  <si>
    <t xml:space="preserve">Santo Domingo</t>
  </si>
  <si>
    <t xml:space="preserve">Dominican Republic, Caribbean</t>
  </si>
  <si>
    <t xml:space="preserve">812214</t>
  </si>
  <si>
    <t xml:space="preserve">Casa de Campo - La Romana</t>
  </si>
  <si>
    <t xml:space="preserve">La Romana</t>
  </si>
  <si>
    <t xml:space="preserve">812101</t>
  </si>
  <si>
    <t xml:space="preserve">Hennes Bat Mitzvah</t>
  </si>
  <si>
    <t xml:space="preserve">Autograph Collection - New York City Lexington</t>
  </si>
  <si>
    <t xml:space="preserve">812096</t>
  </si>
  <si>
    <t xml:space="preserve">MSK - The Geoffrey Beene 2023 Retreat</t>
  </si>
  <si>
    <t xml:space="preserve">Autograph Collection - Weehawken Envue</t>
  </si>
  <si>
    <t xml:space="preserve">Weehawken</t>
  </si>
  <si>
    <t xml:space="preserve">812401</t>
  </si>
  <si>
    <t xml:space="preserve">10 (October)</t>
  </si>
  <si>
    <t xml:space="preserve">Q4 2022</t>
  </si>
  <si>
    <t xml:space="preserve">The Bride - Social Group</t>
  </si>
  <si>
    <t xml:space="preserve">Doubletree - New York City Financial District</t>
  </si>
  <si>
    <t xml:space="preserve">Doubletree</t>
  </si>
  <si>
    <t xml:space="preserve">813829</t>
  </si>
  <si>
    <t xml:space="preserve">BGB - Eagle Advisory Board Meeting</t>
  </si>
  <si>
    <t xml:space="preserve">BGB Group</t>
  </si>
  <si>
    <t xml:space="preserve">816111</t>
  </si>
  <si>
    <t xml:space="preserve">El Autobus - Gatorade Meeting</t>
  </si>
  <si>
    <t xml:space="preserve">El Autobus</t>
  </si>
  <si>
    <t xml:space="preserve">Marriott - Marina Del Rey</t>
  </si>
  <si>
    <t xml:space="preserve">Marina Del Rey</t>
  </si>
  <si>
    <t xml:space="preserve">815988</t>
  </si>
  <si>
    <t xml:space="preserve">TIAA - NY Board of Trustees (Sleeping Rooms Only)</t>
  </si>
  <si>
    <t xml:space="preserve">816861</t>
  </si>
  <si>
    <t xml:space="preserve">11 (November)</t>
  </si>
  <si>
    <t xml:space="preserve">A4BGU 2023 Midwinter Meeting</t>
  </si>
  <si>
    <t xml:space="preserve">Westin - Houston Galleria</t>
  </si>
  <si>
    <t xml:space="preserve">Houston</t>
  </si>
  <si>
    <t xml:space="preserve">819258</t>
  </si>
  <si>
    <t xml:space="preserve">12 (December)</t>
  </si>
  <si>
    <t xml:space="preserve">Open Society Foundations - 2023 Cohorts Conference</t>
  </si>
  <si>
    <t xml:space="preserve">Open Society Foundations</t>
  </si>
  <si>
    <t xml:space="preserve">JW Marriott - San Antonio Hill Country</t>
  </si>
  <si>
    <t xml:space="preserve">JW Marriott</t>
  </si>
  <si>
    <t xml:space="preserve">San Antonio</t>
  </si>
  <si>
    <t xml:space="preserve">820788</t>
  </si>
  <si>
    <t xml:space="preserve">Macmillan - London Book Fair 2023</t>
  </si>
  <si>
    <t xml:space="preserve">Hilton - London Olympia</t>
  </si>
  <si>
    <t xml:space="preserve">820986</t>
  </si>
  <si>
    <t xml:space="preserve">WHATNOT</t>
  </si>
  <si>
    <t xml:space="preserve">Whatnot</t>
  </si>
  <si>
    <t xml:space="preserve">Canyons Resort - Park City</t>
  </si>
  <si>
    <t xml:space="preserve">Park City</t>
  </si>
  <si>
    <t xml:space="preserve">UT</t>
  </si>
  <si>
    <t xml:space="preserve">822164</t>
  </si>
  <si>
    <t xml:space="preserve">Macmillan - Bologna Book Fair 2023</t>
  </si>
  <si>
    <t xml:space="preserve">Star Hotels - Bologna Excelsior</t>
  </si>
  <si>
    <t xml:space="preserve">Star Hotels</t>
  </si>
  <si>
    <t xml:space="preserve">Bologna</t>
  </si>
  <si>
    <t xml:space="preserve">Italy, Europe</t>
  </si>
  <si>
    <t xml:space="preserve">824267</t>
  </si>
  <si>
    <t xml:space="preserve">Q1 2023</t>
  </si>
  <si>
    <t xml:space="preserve">21 Grams - Epidiolex</t>
  </si>
  <si>
    <t xml:space="preserve">Marriott - Dallas Uptown</t>
  </si>
  <si>
    <t xml:space="preserve">824831</t>
  </si>
  <si>
    <t xml:space="preserve">TIAA - Board of Trustees 2023 (London)</t>
  </si>
  <si>
    <t xml:space="preserve">Pan Pacific - London</t>
  </si>
  <si>
    <t xml:space="preserve">Pan Pacific</t>
  </si>
  <si>
    <t xml:space="preserve">824827</t>
  </si>
  <si>
    <t xml:space="preserve">Cresa Board Meeting 2023 (PHX - Sleeping Rooms Only)</t>
  </si>
  <si>
    <t xml:space="preserve">825419</t>
  </si>
  <si>
    <t xml:space="preserve">CIR- 2023 (June)</t>
  </si>
  <si>
    <t xml:space="preserve">825412</t>
  </si>
  <si>
    <t xml:space="preserve">Rohatiner-Wieder Wedding Courtesy Block</t>
  </si>
  <si>
    <t xml:space="preserve">Wedding Block</t>
  </si>
  <si>
    <t xml:space="preserve">Residence Inn - Los Angeles Beverly Hills</t>
  </si>
  <si>
    <t xml:space="preserve">Los Angeles</t>
  </si>
  <si>
    <t xml:space="preserve">HelmsBriscoe  ·  Year-over-Year Performance Dashboard</t>
  </si>
  <si>
    <t xml:space="preserve">Powered by Raw Data  ·  Updates automatically when you run Import</t>
  </si>
  <si>
    <t xml:space="preserve">KPI</t>
  </si>
  <si>
    <t xml:space="preserve">YoY Δ (latest)</t>
  </si>
  <si>
    <t xml:space="preserve">  Revenue</t>
  </si>
  <si>
    <t xml:space="preserve">Total Contracted Revenue</t>
  </si>
  <si>
    <t xml:space="preserve">Total Bookings</t>
  </si>
  <si>
    <t xml:space="preserve">Total Room Nights</t>
  </si>
  <si>
    <t xml:space="preserve">Avg Revenue per Booking</t>
  </si>
  <si>
    <t xml:space="preserve">  Quarterly Breakdown</t>
  </si>
  <si>
    <t xml:space="preserve">Q1 Revenue</t>
  </si>
  <si>
    <t xml:space="preserve">Q2 Revenue</t>
  </si>
  <si>
    <t xml:space="preserve">Q3 Revenue</t>
  </si>
  <si>
    <t xml:space="preserve">Q4 Revenue</t>
  </si>
  <si>
    <t xml:space="preserve">  Client Intelligence</t>
  </si>
  <si>
    <t xml:space="preserve"># Unique Clients</t>
  </si>
  <si>
    <t xml:space="preserve">Top Client Revenue</t>
  </si>
  <si>
    <t xml:space="preserve">Top Client</t>
  </si>
  <si>
    <t xml:space="preserve">  Geography &amp; Properties</t>
  </si>
  <si>
    <t xml:space="preserve"># Unique Properties</t>
  </si>
  <si>
    <t xml:space="preserve"># Unique Cities</t>
  </si>
  <si>
    <t xml:space="preserve"># International Bookings</t>
  </si>
  <si>
    <t xml:space="preserve">Top Brand</t>
  </si>
  <si>
    <t xml:space="preserve">Monthly Revenue &amp; Booking Count  —  Year-over-Year</t>
  </si>
  <si>
    <t xml:space="preserve">Month</t>
  </si>
  <si>
    <t xml:space="preserve">Revenue (USD)</t>
  </si>
  <si>
    <t xml:space="preserve"># Bookings</t>
  </si>
  <si>
    <t xml:space="preserve">January</t>
  </si>
  <si>
    <t xml:space="preserve">February</t>
  </si>
  <si>
    <t xml:space="preserve">March</t>
  </si>
  <si>
    <t xml:space="preserve">April</t>
  </si>
  <si>
    <t xml:space="preserve">May</t>
  </si>
  <si>
    <t xml:space="preserve">June</t>
  </si>
  <si>
    <t xml:space="preserve">July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</si>
  <si>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</si>
  <si>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</si>
  <si>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</si>
  <si>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</si>
  <si>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</si>
  <si>
    <t xml:space="preserve">TOTAL</t>
  </si>
  <si>
    <t xml:space="preserve">Top Clients  —  Revenue by Year</t>
  </si>
  <si>
    <t xml:space="preserve">Client Name</t>
  </si>
  <si>
    <t xml:space="preserve">Grand Total</t>
  </si>
  <si>
    <t xml:space="preserve">Hotel Brand Mix  —  Revenue &amp; Share by Year</t>
  </si>
  <si>
    <t xml:space="preserve">Revenue</t>
  </si>
  <si>
    <t xml:space="preserve">% Share</t>
  </si>
  <si>
    <t xml:space="preserve">100.0%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</si>
</sst>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mm/dd/yyyy"/>
    <numFmt numFmtId="166" formatCode="\$#,##0.00"/>
    <numFmt numFmtId="167" formatCode="\$#,##0"/>
    <numFmt numFmtId="168" formatCode="0.0%"/>
    <numFmt numFmtId="169" formatCode="#,##0"/>
    <numFmt numFmtId="170" formatCode="\$#,##0"/>
  </numFmts>
  <fonts count="22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FFFFFF"/>
      <name val="Arial"/>
      <family val="0"/>
      <charset val="1"/>
    </font>
    <font>
      <i val="true"/>
      <sz val="10"/>
      <color rgb="FFFFFFFF"/>
      <name val="Arial"/>
      <family val="0"/>
      <charset val="1"/>
    </font>
    <font>
      <sz val="10"/>
      <color rgb="FF555555"/>
      <name val="Arial"/>
      <family val="0"/>
      <charset val="1"/>
    </font>
    <font>
      <i val="true"/>
      <sz val="10"/>
      <color rgb="FF555555"/>
      <name val="Arial"/>
      <family val="0"/>
      <charset val="1"/>
    </font>
    <font>
      <b val="true"/>
      <sz val="10"/>
      <color rgb="FF2E5FA3"/>
      <name val="Arial"/>
      <family val="0"/>
      <charset val="1"/>
    </font>
    <font>
      <b val="true"/>
      <sz val="13"/>
      <color rgb="FFFFFFFF"/>
      <name val="Arial"/>
      <family val="0"/>
      <charset val="1"/>
    </font>
    <font>
      <i val="true"/>
      <sz val="9"/>
      <color rgb="FF555555"/>
      <name val="Arial"/>
      <family val="0"/>
      <charset val="1"/>
    </font>
    <font>
      <b val="true"/>
      <sz val="9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9"/>
      <color rgb="FF1F3864"/>
      <name val="Arial"/>
      <family val="0"/>
      <charset val="1"/>
    </font>
    <font>
      <sz val="9"/>
      <name val="Arial"/>
      <family val="0"/>
      <charset val="1"/>
    </font>
    <font>
      <i val="true"/>
      <sz val="8"/>
      <color rgb="FFAAAAAA"/>
      <name val="Arial"/>
      <family val="0"/>
      <charset val="1"/>
    </font>
    <font>
      <sz val="9"/>
      <color rgb="FF000000"/>
      <name val="Arial"/>
      <family val="0"/>
      <charset val="1"/>
    </font>
    <font>
      <sz val="9"/>
      <color rgb="FF7F6000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11"/>
      <color rgb="FF7F6000"/>
      <name val="Arial"/>
      <family val="0"/>
      <charset val="1"/>
    </font>
    <font>
      <sz val="10"/>
      <color rgb="FF000000"/>
      <name val="Arial"/>
      <family val="0"/>
      <charset val="1"/>
    </font>
    <font>
      <b val="true"/>
      <sz val="10"/>
      <color rgb="FF000000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2E5FA3"/>
        <bgColor rgb="FF3366FF"/>
      </patternFill>
    </fill>
    <fill>
      <patternFill patternType="solid">
        <fgColor rgb="FF555555"/>
        <bgColor rgb="FF333333"/>
      </patternFill>
    </fill>
    <fill>
      <patternFill patternType="solid">
        <fgColor rgb="FF7F6000"/>
        <bgColor rgb="FF555555"/>
      </patternFill>
    </fill>
    <fill>
      <patternFill patternType="solid">
        <fgColor rgb="FFF2F2F2"/>
        <bgColor rgb="FFFFFFFF"/>
      </patternFill>
    </fill>
    <fill>
      <patternFill patternType="solid">
        <fgColor rgb="FFFFFFFF"/>
        <bgColor rgb="FFF2F2F2"/>
      </patternFill>
    </fill>
    <fill>
      <patternFill patternType="solid">
        <fgColor rgb="FFFFF9C4"/>
        <bgColor rgb="FFFFFF99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>
        <color rgb="FFBDC3C7"/>
      </left>
      <right style="thin">
        <color rgb="FFBDC3C7"/>
      </right>
      <top style="thin">
        <color rgb="FFBDC3C7"/>
      </top>
      <bottom/>
      <diagonal/>
    </border>
    <border diagonalUp="false" diagonalDown="false"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 diagonalUp="false" diagonalDown="false">
      <left style="thin">
        <color rgb="FFBDC3C7"/>
      </left>
      <right/>
      <top style="thin">
        <color rgb="FFBDC3C7"/>
      </top>
      <bottom style="thin">
        <color rgb="FFBDC3C7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6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6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6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6" fillId="6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6" fillId="6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7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6" fillId="7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6" fillId="7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7" fillId="8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7" fillId="8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9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6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20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0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7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9" fontId="20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0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0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20" fillId="6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0" fontId="20" fillId="7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2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12" fillId="3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9" fontId="12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21" fillId="6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0" fontId="21" fillId="7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fgColor rgb="FF1F3864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F6000"/>
      <rgbColor rgb="FF800080"/>
      <rgbColor rgb="FF008080"/>
      <rgbColor rgb="FFBDC3C7"/>
      <rgbColor rgb="FF808080"/>
      <rgbColor rgb="FF9999FF"/>
      <rgbColor rgb="FF8E44AD"/>
      <rgbColor rgb="FFFFF9C4"/>
      <rgbColor rgb="FFF2F2F2"/>
      <rgbColor rgb="FF660066"/>
      <rgbColor rgb="FFFF8080"/>
      <rgbColor rgb="FF2E5FA3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1C40F"/>
      <rgbColor rgb="FFFF9900"/>
      <rgbColor rgb="FFE67E22"/>
      <rgbColor rgb="FF555555"/>
      <rgbColor rgb="FFAAAAAA"/>
      <rgbColor rgb="FF1F3864"/>
      <rgbColor rgb="FF1E8449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false"/>
  </sheetPr>
  <dimension ref="B1:F22"/>
  <sheetViews>
    <sheetView showFormulas="false" showGridLines="false" showRowColHeaders="fals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2" min="2" style="0" width="28"/>
    <col collapsed="false" customWidth="true" hidden="false" outlineLevel="0" max="3" min="3" style="0" width="3"/>
    <col collapsed="false" customWidth="true" hidden="false" outlineLevel="0" max="4" min="4" style="0" width="28"/>
    <col collapsed="false" customWidth="true" hidden="false" outlineLevel="0" max="5" min="5" style="0" width="3"/>
    <col collapsed="false" customWidth="true" hidden="false" outlineLevel="0" max="6" min="6" style="0" width="28"/>
    <col collapsed="false" customWidth="true" hidden="false" outlineLevel="0" max="7" min="7" style="0" width="3"/>
  </cols>
  <sheetData>
    <row r="1" customFormat="false" ht="12" hidden="false" customHeight="true" outlineLevel="0" collapsed="false"/>
    <row r="2" customFormat="false" ht="43.5" hidden="false" customHeight="true" outlineLevel="0" collapsed="false">
      <c r="B2" s="1" t="s">
        <v>0</v>
      </c>
      <c r="C2" s="1"/>
      <c r="D2" s="1"/>
      <c r="E2" s="1"/>
      <c r="F2" s="1"/>
    </row>
    <row r="3" customFormat="false" ht="19.5" hidden="false" customHeight="true" outlineLevel="0" collapsed="false">
      <c r="B3" s="2" t="s">
        <v>1</v>
      </c>
      <c r="C3" s="2"/>
      <c r="D3" s="2"/>
      <c r="E3" s="2"/>
      <c r="F3" s="2"/>
    </row>
    <row r="4" customFormat="false" ht="9.75" hidden="false" customHeight="true" outlineLevel="0" collapsed="false"/>
    <row r="5" customFormat="false" ht="18" hidden="false" customHeight="true" outlineLevel="0" collapsed="false">
      <c r="B5" s="3" t="s">
        <v>2</v>
      </c>
      <c r="C5" s="3"/>
      <c r="D5" s="3"/>
      <c r="E5" s="3"/>
      <c r="F5" s="3"/>
    </row>
    <row r="6" customFormat="false" ht="15.75" hidden="false" customHeight="true" outlineLevel="0" collapsed="false">
      <c r="B6" s="4" t="s">
        <v>3</v>
      </c>
      <c r="C6" s="4"/>
      <c r="D6" s="4"/>
      <c r="E6" s="4"/>
      <c r="F6" s="4"/>
    </row>
    <row r="7" customFormat="false" ht="15.75" hidden="false" customHeight="true" outlineLevel="0" collapsed="false">
      <c r="B7" s="5" t="s">
        <v>4</v>
      </c>
      <c r="C7" s="5"/>
      <c r="D7" s="5"/>
      <c r="E7" s="5"/>
      <c r="F7" s="5"/>
    </row>
    <row r="8" customFormat="false" ht="13.5" hidden="false" customHeight="true" outlineLevel="0" collapsed="false"/>
    <row r="9" customFormat="false" ht="18" hidden="false" customHeight="true" outlineLevel="0" collapsed="false">
      <c r="B9" s="6" t="s">
        <v>5</v>
      </c>
      <c r="D9" s="7" t="s">
        <v>6</v>
      </c>
      <c r="F9" s="8" t="s">
        <v>7</v>
      </c>
    </row>
    <row r="10" customFormat="false" ht="18" hidden="false" customHeight="true" outlineLevel="0" collapsed="false">
      <c r="B10" s="6"/>
      <c r="D10" s="7"/>
      <c r="F10" s="8"/>
    </row>
    <row r="11" customFormat="false" ht="18" hidden="false" customHeight="true" outlineLevel="0" collapsed="false">
      <c r="B11" s="6"/>
      <c r="D11" s="7"/>
      <c r="F11" s="8"/>
    </row>
    <row r="12" customFormat="false" ht="7.5" hidden="false" customHeight="true" outlineLevel="0" collapsed="false">
      <c r="B12" s="9" t="s">
        <v>8</v>
      </c>
      <c r="D12" s="9" t="s">
        <v>9</v>
      </c>
      <c r="F12" s="9" t="s">
        <v>10</v>
      </c>
    </row>
    <row r="13" customFormat="false" ht="19.5" hidden="false" customHeight="true" outlineLevel="0" collapsed="false">
      <c r="B13" s="10" t="s">
        <v>11</v>
      </c>
      <c r="C13" s="10"/>
      <c r="D13" s="10"/>
      <c r="E13" s="10"/>
      <c r="F13" s="10"/>
    </row>
    <row r="14" customFormat="false" ht="15.75" hidden="false" customHeight="true" outlineLevel="0" collapsed="false">
      <c r="B14" s="11" t="s">
        <v>12</v>
      </c>
      <c r="C14" s="11"/>
      <c r="D14" s="11"/>
      <c r="E14" s="11"/>
      <c r="F14" s="11"/>
    </row>
    <row r="15" customFormat="false" ht="9.75" hidden="false" customHeight="true" outlineLevel="0" collapsed="false"/>
    <row r="16" customFormat="false" ht="19.5" hidden="false" customHeight="true" outlineLevel="0" collapsed="false">
      <c r="B16" s="12" t="s">
        <v>13</v>
      </c>
      <c r="C16" s="12"/>
      <c r="D16" s="12"/>
      <c r="E16" s="12"/>
      <c r="F16" s="12"/>
    </row>
    <row r="17" customFormat="false" ht="15.75" hidden="false" customHeight="true" outlineLevel="0" collapsed="false">
      <c r="B17" s="13" t="s">
        <v>14</v>
      </c>
      <c r="C17" s="14" t="s">
        <v>15</v>
      </c>
      <c r="D17" s="14"/>
      <c r="E17" s="14"/>
      <c r="F17" s="14"/>
    </row>
    <row r="18" customFormat="false" ht="15.75" hidden="false" customHeight="true" outlineLevel="0" collapsed="false">
      <c r="B18" s="15" t="s">
        <v>16</v>
      </c>
      <c r="C18" s="16" t="s">
        <v>17</v>
      </c>
      <c r="D18" s="16"/>
      <c r="E18" s="16"/>
      <c r="F18" s="16"/>
    </row>
    <row r="19" customFormat="false" ht="15.75" hidden="false" customHeight="true" outlineLevel="0" collapsed="false">
      <c r="B19" s="13" t="s">
        <v>18</v>
      </c>
      <c r="C19" s="14" t="s">
        <v>19</v>
      </c>
      <c r="D19" s="14"/>
      <c r="E19" s="14"/>
      <c r="F19" s="14"/>
    </row>
    <row r="21" customFormat="false" ht="9.75" hidden="false" customHeight="true" outlineLevel="0" collapsed="false"/>
    <row r="22" customFormat="false" ht="15" hidden="false" customHeight="false" outlineLevel="0" collapsed="false">
      <c r="B22" s="17" t="s">
        <v>20</v>
      </c>
      <c r="C22" s="17"/>
      <c r="D22" s="17"/>
      <c r="E22" s="17"/>
      <c r="F22" s="17"/>
    </row>
  </sheetData>
  <mergeCells count="15">
    <mergeCell ref="B2:F2"/>
    <mergeCell ref="B3:F3"/>
    <mergeCell ref="B5:F5"/>
    <mergeCell ref="B6:F6"/>
    <mergeCell ref="B7:F7"/>
    <mergeCell ref="B9:B11"/>
    <mergeCell ref="D9:D11"/>
    <mergeCell ref="F9:F11"/>
    <mergeCell ref="B13:F13"/>
    <mergeCell ref="B14:F14"/>
    <mergeCell ref="B16:F16"/>
    <mergeCell ref="C17:F17"/>
    <mergeCell ref="C18:F18"/>
    <mergeCell ref="C19:F19"/>
    <mergeCell ref="B22:F2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1C40F"/>
    <pageSetUpPr fitToPage="false"/>
  </sheetPr>
  <dimension ref="A1:R68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16"/>
    <col collapsed="false" customWidth="true" hidden="false" outlineLevel="0" max="4" min="4" style="0" width="13"/>
    <col collapsed="false" customWidth="true" hidden="false" outlineLevel="0" max="5" min="5" style="0" width="11"/>
    <col collapsed="false" customWidth="true" hidden="false" outlineLevel="0" max="6" min="6" style="0" width="42"/>
    <col collapsed="false" customWidth="true" hidden="false" outlineLevel="0" max="7" min="7" style="0" width="28"/>
    <col collapsed="false" customWidth="true" hidden="false" outlineLevel="0" max="8" min="8" style="0" width="14"/>
    <col collapsed="false" customWidth="true" hidden="false" outlineLevel="0" max="10" min="9" style="0" width="16"/>
    <col collapsed="false" customWidth="true" hidden="false" outlineLevel="0" max="11" min="11" style="0" width="34"/>
    <col collapsed="false" customWidth="true" hidden="false" outlineLevel="0" max="12" min="12" style="0" width="18"/>
    <col collapsed="false" customWidth="true" hidden="false" outlineLevel="0" max="13" min="13" style="0" width="22"/>
    <col collapsed="false" customWidth="true" hidden="false" outlineLevel="0" max="14" min="14" style="0" width="16"/>
    <col collapsed="false" customWidth="true" hidden="false" outlineLevel="0" max="15" min="15" style="0" width="13"/>
    <col collapsed="false" customWidth="true" hidden="false" outlineLevel="0" max="16" min="16" style="0" width="20"/>
    <col collapsed="false" customWidth="true" hidden="false" outlineLevel="0" max="17" min="17" style="0" width="12"/>
    <col collapsed="false" customWidth="true" hidden="false" outlineLevel="0" max="18" min="18" style="0" width="20"/>
  </cols>
  <sheetData>
    <row r="1" customFormat="false" ht="21.75" hidden="false" customHeight="true" outlineLevel="0" collapsed="false">
      <c r="A1" s="18" t="s">
        <v>21</v>
      </c>
      <c r="B1" s="18" t="s">
        <v>22</v>
      </c>
      <c r="C1" s="18" t="s">
        <v>23</v>
      </c>
      <c r="D1" s="18" t="s">
        <v>24</v>
      </c>
      <c r="E1" s="18" t="s">
        <v>25</v>
      </c>
      <c r="F1" s="18" t="s">
        <v>26</v>
      </c>
      <c r="G1" s="18" t="s">
        <v>27</v>
      </c>
      <c r="H1" s="18" t="s">
        <v>28</v>
      </c>
      <c r="I1" s="18" t="s">
        <v>29</v>
      </c>
      <c r="J1" s="18" t="s">
        <v>30</v>
      </c>
      <c r="K1" s="18" t="s">
        <v>31</v>
      </c>
      <c r="L1" s="18" t="s">
        <v>32</v>
      </c>
      <c r="M1" s="18" t="s">
        <v>33</v>
      </c>
      <c r="N1" s="18" t="s">
        <v>34</v>
      </c>
      <c r="O1" s="18" t="s">
        <v>35</v>
      </c>
      <c r="P1" s="18" t="s">
        <v>36</v>
      </c>
      <c r="Q1" s="18" t="s">
        <v>37</v>
      </c>
      <c r="R1" s="18" t="s">
        <v>38</v>
      </c>
    </row>
    <row r="2" customFormat="false" ht="15" hidden="false" customHeight="false" outlineLevel="0" collapsed="false">
      <c r="A2" s="19" t="s">
        <v>39</v>
      </c>
      <c r="B2" s="20" t="n">
        <v>44566</v>
      </c>
      <c r="C2" s="19" t="s">
        <v>40</v>
      </c>
      <c r="D2" s="19" t="s">
        <v>41</v>
      </c>
      <c r="E2" s="19" t="n">
        <v>2022</v>
      </c>
      <c r="F2" s="19" t="s">
        <v>42</v>
      </c>
      <c r="G2" s="19" t="s">
        <v>43</v>
      </c>
      <c r="H2" s="20" t="n">
        <v>44199</v>
      </c>
      <c r="I2" s="20" t="n">
        <v>44663</v>
      </c>
      <c r="J2" s="20" t="n">
        <v>44665</v>
      </c>
      <c r="K2" s="19" t="s">
        <v>44</v>
      </c>
      <c r="L2" s="19" t="s">
        <v>45</v>
      </c>
      <c r="M2" s="19" t="s">
        <v>46</v>
      </c>
      <c r="N2" s="19" t="s">
        <v>47</v>
      </c>
      <c r="O2" s="19" t="s">
        <v>48</v>
      </c>
      <c r="P2" s="19" t="s">
        <v>49</v>
      </c>
      <c r="Q2" s="19" t="n">
        <v>150</v>
      </c>
      <c r="R2" s="21" t="n">
        <v>43250</v>
      </c>
    </row>
    <row r="3" customFormat="false" ht="15" hidden="false" customHeight="false" outlineLevel="0" collapsed="false">
      <c r="A3" s="22" t="s">
        <v>50</v>
      </c>
      <c r="B3" s="23" t="n">
        <v>44579</v>
      </c>
      <c r="C3" s="22" t="s">
        <v>40</v>
      </c>
      <c r="D3" s="22" t="s">
        <v>41</v>
      </c>
      <c r="E3" s="22" t="n">
        <v>2022</v>
      </c>
      <c r="F3" s="22" t="s">
        <v>51</v>
      </c>
      <c r="G3" s="22" t="s">
        <v>52</v>
      </c>
      <c r="H3" s="23" t="n">
        <v>44575</v>
      </c>
      <c r="I3" s="23" t="n">
        <v>44686</v>
      </c>
      <c r="J3" s="23" t="n">
        <v>44687</v>
      </c>
      <c r="K3" s="22" t="s">
        <v>53</v>
      </c>
      <c r="L3" s="22" t="s">
        <v>54</v>
      </c>
      <c r="M3" s="22" t="s">
        <v>55</v>
      </c>
      <c r="N3" s="22" t="s">
        <v>56</v>
      </c>
      <c r="O3" s="22" t="s">
        <v>57</v>
      </c>
      <c r="P3" s="22" t="s">
        <v>49</v>
      </c>
      <c r="Q3" s="22" t="n">
        <v>162</v>
      </c>
      <c r="R3" s="24" t="n">
        <v>37420</v>
      </c>
    </row>
    <row r="4" customFormat="false" ht="15" hidden="false" customHeight="false" outlineLevel="0" collapsed="false">
      <c r="A4" s="19" t="s">
        <v>58</v>
      </c>
      <c r="B4" s="20" t="n">
        <v>44598</v>
      </c>
      <c r="C4" s="19" t="s">
        <v>59</v>
      </c>
      <c r="D4" s="19" t="s">
        <v>41</v>
      </c>
      <c r="E4" s="19" t="n">
        <v>2022</v>
      </c>
      <c r="F4" s="19" t="s">
        <v>60</v>
      </c>
      <c r="G4" s="19" t="s">
        <v>61</v>
      </c>
      <c r="H4" s="20" t="n">
        <v>44592</v>
      </c>
      <c r="I4" s="20" t="n">
        <v>44731</v>
      </c>
      <c r="J4" s="20" t="n">
        <v>44738</v>
      </c>
      <c r="K4" s="19" t="s">
        <v>62</v>
      </c>
      <c r="L4" s="19" t="s">
        <v>63</v>
      </c>
      <c r="M4" s="19" t="s">
        <v>64</v>
      </c>
      <c r="N4" s="19" t="s">
        <v>65</v>
      </c>
      <c r="O4" s="19" t="s">
        <v>66</v>
      </c>
      <c r="P4" s="19" t="s">
        <v>49</v>
      </c>
      <c r="Q4" s="19" t="n">
        <v>109</v>
      </c>
      <c r="R4" s="21" t="n">
        <v>13506</v>
      </c>
    </row>
    <row r="5" customFormat="false" ht="15" hidden="false" customHeight="false" outlineLevel="0" collapsed="false">
      <c r="A5" s="22" t="s">
        <v>67</v>
      </c>
      <c r="B5" s="23" t="n">
        <v>44604</v>
      </c>
      <c r="C5" s="22" t="s">
        <v>59</v>
      </c>
      <c r="D5" s="22" t="s">
        <v>41</v>
      </c>
      <c r="E5" s="22" t="n">
        <v>2022</v>
      </c>
      <c r="F5" s="22" t="s">
        <v>68</v>
      </c>
      <c r="G5" s="22" t="s">
        <v>69</v>
      </c>
      <c r="H5" s="23" t="n">
        <v>44600</v>
      </c>
      <c r="I5" s="23" t="n">
        <v>44721</v>
      </c>
      <c r="J5" s="23" t="n">
        <v>44722</v>
      </c>
      <c r="K5" s="22" t="s">
        <v>70</v>
      </c>
      <c r="L5" s="22" t="s">
        <v>71</v>
      </c>
      <c r="M5" s="22" t="s">
        <v>72</v>
      </c>
      <c r="N5" s="22" t="s">
        <v>73</v>
      </c>
      <c r="O5" s="22" t="s">
        <v>74</v>
      </c>
      <c r="P5" s="22" t="s">
        <v>49</v>
      </c>
      <c r="Q5" s="22" t="n">
        <v>76</v>
      </c>
      <c r="R5" s="24" t="n">
        <v>22724</v>
      </c>
    </row>
    <row r="6" customFormat="false" ht="15" hidden="false" customHeight="false" outlineLevel="0" collapsed="false">
      <c r="A6" s="19" t="s">
        <v>75</v>
      </c>
      <c r="B6" s="20" t="n">
        <v>44607</v>
      </c>
      <c r="C6" s="19" t="s">
        <v>59</v>
      </c>
      <c r="D6" s="19" t="s">
        <v>41</v>
      </c>
      <c r="E6" s="19" t="n">
        <v>2022</v>
      </c>
      <c r="F6" s="19" t="s">
        <v>76</v>
      </c>
      <c r="G6" s="19" t="s">
        <v>77</v>
      </c>
      <c r="H6" s="20" t="n">
        <v>44606</v>
      </c>
      <c r="I6" s="20" t="n">
        <v>44617</v>
      </c>
      <c r="J6" s="20" t="n">
        <v>44621</v>
      </c>
      <c r="K6" s="19" t="s">
        <v>78</v>
      </c>
      <c r="L6" s="19" t="s">
        <v>79</v>
      </c>
      <c r="M6" s="19" t="s">
        <v>80</v>
      </c>
      <c r="N6" s="19" t="s">
        <v>81</v>
      </c>
      <c r="O6" s="19" t="s">
        <v>82</v>
      </c>
      <c r="P6" s="19" t="s">
        <v>49</v>
      </c>
      <c r="Q6" s="19" t="n">
        <v>51</v>
      </c>
      <c r="R6" s="21" t="n">
        <v>13209</v>
      </c>
    </row>
    <row r="7" customFormat="false" ht="15" hidden="false" customHeight="false" outlineLevel="0" collapsed="false">
      <c r="A7" s="22" t="s">
        <v>83</v>
      </c>
      <c r="B7" s="23" t="n">
        <v>44619</v>
      </c>
      <c r="C7" s="22" t="s">
        <v>59</v>
      </c>
      <c r="D7" s="22" t="s">
        <v>41</v>
      </c>
      <c r="E7" s="22" t="n">
        <v>2022</v>
      </c>
      <c r="F7" s="22" t="s">
        <v>84</v>
      </c>
      <c r="G7" s="22" t="s">
        <v>85</v>
      </c>
      <c r="H7" s="23" t="n">
        <v>44616</v>
      </c>
      <c r="I7" s="23" t="n">
        <v>44647</v>
      </c>
      <c r="J7" s="23" t="n">
        <v>44650</v>
      </c>
      <c r="K7" s="22" t="s">
        <v>86</v>
      </c>
      <c r="L7" s="22" t="s">
        <v>87</v>
      </c>
      <c r="M7" s="22" t="s">
        <v>88</v>
      </c>
      <c r="N7" s="22" t="s">
        <v>89</v>
      </c>
      <c r="O7" s="22"/>
      <c r="P7" s="22" t="s">
        <v>90</v>
      </c>
      <c r="Q7" s="22" t="n">
        <v>48</v>
      </c>
      <c r="R7" s="24" t="n">
        <v>37184.15</v>
      </c>
    </row>
    <row r="8" customFormat="false" ht="15" hidden="false" customHeight="false" outlineLevel="0" collapsed="false">
      <c r="A8" s="19" t="s">
        <v>91</v>
      </c>
      <c r="B8" s="20" t="n">
        <v>44629</v>
      </c>
      <c r="C8" s="19" t="s">
        <v>92</v>
      </c>
      <c r="D8" s="19" t="s">
        <v>41</v>
      </c>
      <c r="E8" s="19" t="n">
        <v>2022</v>
      </c>
      <c r="F8" s="19" t="s">
        <v>93</v>
      </c>
      <c r="G8" s="19" t="s">
        <v>94</v>
      </c>
      <c r="H8" s="20" t="n">
        <v>44629</v>
      </c>
      <c r="I8" s="20" t="n">
        <v>44652</v>
      </c>
      <c r="J8" s="20" t="n">
        <v>44654</v>
      </c>
      <c r="K8" s="19" t="s">
        <v>95</v>
      </c>
      <c r="L8" s="19" t="s">
        <v>79</v>
      </c>
      <c r="M8" s="19" t="s">
        <v>96</v>
      </c>
      <c r="N8" s="19" t="s">
        <v>97</v>
      </c>
      <c r="O8" s="19" t="s">
        <v>98</v>
      </c>
      <c r="P8" s="19" t="s">
        <v>49</v>
      </c>
      <c r="Q8" s="19" t="n">
        <v>20</v>
      </c>
      <c r="R8" s="21" t="n">
        <v>4180</v>
      </c>
    </row>
    <row r="9" customFormat="false" ht="15" hidden="false" customHeight="false" outlineLevel="0" collapsed="false">
      <c r="A9" s="22" t="s">
        <v>99</v>
      </c>
      <c r="B9" s="23" t="n">
        <v>44629</v>
      </c>
      <c r="C9" s="22" t="s">
        <v>92</v>
      </c>
      <c r="D9" s="22" t="s">
        <v>41</v>
      </c>
      <c r="E9" s="22" t="n">
        <v>2022</v>
      </c>
      <c r="F9" s="22" t="s">
        <v>100</v>
      </c>
      <c r="G9" s="22" t="s">
        <v>101</v>
      </c>
      <c r="H9" s="23" t="n">
        <v>44628</v>
      </c>
      <c r="I9" s="23" t="n">
        <v>44648</v>
      </c>
      <c r="J9" s="23" t="n">
        <v>44651</v>
      </c>
      <c r="K9" s="22" t="s">
        <v>102</v>
      </c>
      <c r="L9" s="22" t="s">
        <v>54</v>
      </c>
      <c r="M9" s="22" t="s">
        <v>103</v>
      </c>
      <c r="N9" s="22" t="s">
        <v>104</v>
      </c>
      <c r="O9" s="22" t="s">
        <v>105</v>
      </c>
      <c r="P9" s="22" t="s">
        <v>49</v>
      </c>
      <c r="Q9" s="22" t="n">
        <v>41</v>
      </c>
      <c r="R9" s="24" t="n">
        <v>10619</v>
      </c>
    </row>
    <row r="10" customFormat="false" ht="15" hidden="false" customHeight="false" outlineLevel="0" collapsed="false">
      <c r="A10" s="19" t="s">
        <v>106</v>
      </c>
      <c r="B10" s="20" t="n">
        <v>44642</v>
      </c>
      <c r="C10" s="19" t="s">
        <v>92</v>
      </c>
      <c r="D10" s="19" t="s">
        <v>41</v>
      </c>
      <c r="E10" s="19" t="n">
        <v>2022</v>
      </c>
      <c r="F10" s="19" t="s">
        <v>107</v>
      </c>
      <c r="G10" s="19" t="s">
        <v>108</v>
      </c>
      <c r="H10" s="20" t="n">
        <v>44642</v>
      </c>
      <c r="I10" s="20" t="n">
        <v>44723</v>
      </c>
      <c r="J10" s="20" t="n">
        <v>44730</v>
      </c>
      <c r="K10" s="19" t="s">
        <v>109</v>
      </c>
      <c r="L10" s="19" t="s">
        <v>79</v>
      </c>
      <c r="M10" s="19" t="s">
        <v>110</v>
      </c>
      <c r="N10" s="19" t="s">
        <v>111</v>
      </c>
      <c r="O10" s="19" t="s">
        <v>112</v>
      </c>
      <c r="P10" s="19" t="s">
        <v>49</v>
      </c>
      <c r="Q10" s="19" t="n">
        <v>89</v>
      </c>
      <c r="R10" s="21" t="n">
        <v>23941</v>
      </c>
    </row>
    <row r="11" customFormat="false" ht="15" hidden="false" customHeight="false" outlineLevel="0" collapsed="false">
      <c r="A11" s="22" t="s">
        <v>113</v>
      </c>
      <c r="B11" s="23" t="n">
        <v>44656</v>
      </c>
      <c r="C11" s="22" t="s">
        <v>114</v>
      </c>
      <c r="D11" s="22" t="s">
        <v>115</v>
      </c>
      <c r="E11" s="22" t="n">
        <v>2022</v>
      </c>
      <c r="F11" s="22" t="s">
        <v>116</v>
      </c>
      <c r="G11" s="22" t="s">
        <v>117</v>
      </c>
      <c r="H11" s="23" t="n">
        <v>44656</v>
      </c>
      <c r="I11" s="23" t="n">
        <v>44692</v>
      </c>
      <c r="J11" s="23" t="n">
        <v>44696</v>
      </c>
      <c r="K11" s="22" t="s">
        <v>118</v>
      </c>
      <c r="L11" s="22" t="s">
        <v>79</v>
      </c>
      <c r="M11" s="22" t="s">
        <v>119</v>
      </c>
      <c r="N11" s="22" t="s">
        <v>120</v>
      </c>
      <c r="O11" s="22" t="s">
        <v>121</v>
      </c>
      <c r="P11" s="22" t="s">
        <v>49</v>
      </c>
      <c r="Q11" s="22" t="n">
        <v>77</v>
      </c>
      <c r="R11" s="24" t="n">
        <v>14553</v>
      </c>
    </row>
    <row r="12" customFormat="false" ht="15" hidden="false" customHeight="false" outlineLevel="0" collapsed="false">
      <c r="A12" s="19" t="s">
        <v>122</v>
      </c>
      <c r="B12" s="20" t="n">
        <v>44656</v>
      </c>
      <c r="C12" s="19" t="s">
        <v>114</v>
      </c>
      <c r="D12" s="19" t="s">
        <v>115</v>
      </c>
      <c r="E12" s="19" t="n">
        <v>2022</v>
      </c>
      <c r="F12" s="19" t="s">
        <v>123</v>
      </c>
      <c r="G12" s="19" t="s">
        <v>124</v>
      </c>
      <c r="H12" s="20" t="n">
        <v>44655</v>
      </c>
      <c r="I12" s="20" t="n">
        <v>44700</v>
      </c>
      <c r="J12" s="20" t="n">
        <v>44702</v>
      </c>
      <c r="K12" s="19" t="s">
        <v>125</v>
      </c>
      <c r="L12" s="19" t="s">
        <v>54</v>
      </c>
      <c r="M12" s="19" t="s">
        <v>126</v>
      </c>
      <c r="N12" s="19" t="s">
        <v>111</v>
      </c>
      <c r="O12" s="19" t="s">
        <v>112</v>
      </c>
      <c r="P12" s="19" t="s">
        <v>49</v>
      </c>
      <c r="Q12" s="19" t="n">
        <v>40</v>
      </c>
      <c r="R12" s="21" t="n">
        <v>11160</v>
      </c>
    </row>
    <row r="13" customFormat="false" ht="15" hidden="false" customHeight="false" outlineLevel="0" collapsed="false">
      <c r="A13" s="22" t="s">
        <v>127</v>
      </c>
      <c r="B13" s="23" t="n">
        <v>44658</v>
      </c>
      <c r="C13" s="22" t="s">
        <v>114</v>
      </c>
      <c r="D13" s="22" t="s">
        <v>115</v>
      </c>
      <c r="E13" s="22" t="n">
        <v>2022</v>
      </c>
      <c r="F13" s="22" t="s">
        <v>128</v>
      </c>
      <c r="G13" s="22" t="s">
        <v>94</v>
      </c>
      <c r="H13" s="23" t="n">
        <v>44658</v>
      </c>
      <c r="I13" s="23" t="n">
        <v>44673</v>
      </c>
      <c r="J13" s="23" t="n">
        <v>44675</v>
      </c>
      <c r="K13" s="22" t="s">
        <v>129</v>
      </c>
      <c r="L13" s="22" t="s">
        <v>45</v>
      </c>
      <c r="M13" s="22" t="s">
        <v>45</v>
      </c>
      <c r="N13" s="22" t="s">
        <v>130</v>
      </c>
      <c r="O13" s="22" t="s">
        <v>57</v>
      </c>
      <c r="P13" s="22" t="s">
        <v>49</v>
      </c>
      <c r="Q13" s="22" t="n">
        <v>20</v>
      </c>
      <c r="R13" s="24" t="n">
        <v>4580</v>
      </c>
    </row>
    <row r="14" customFormat="false" ht="15" hidden="false" customHeight="false" outlineLevel="0" collapsed="false">
      <c r="A14" s="19" t="s">
        <v>131</v>
      </c>
      <c r="B14" s="20" t="n">
        <v>44677</v>
      </c>
      <c r="C14" s="19" t="s">
        <v>114</v>
      </c>
      <c r="D14" s="19" t="s">
        <v>115</v>
      </c>
      <c r="E14" s="19" t="n">
        <v>2022</v>
      </c>
      <c r="F14" s="19" t="s">
        <v>132</v>
      </c>
      <c r="G14" s="19" t="s">
        <v>133</v>
      </c>
      <c r="H14" s="20" t="n">
        <v>44672</v>
      </c>
      <c r="I14" s="20" t="n">
        <v>44681</v>
      </c>
      <c r="J14" s="20" t="n">
        <v>44687</v>
      </c>
      <c r="K14" s="19" t="s">
        <v>134</v>
      </c>
      <c r="L14" s="19" t="s">
        <v>54</v>
      </c>
      <c r="M14" s="19" t="s">
        <v>103</v>
      </c>
      <c r="N14" s="19" t="s">
        <v>111</v>
      </c>
      <c r="O14" s="19" t="s">
        <v>112</v>
      </c>
      <c r="P14" s="19" t="s">
        <v>49</v>
      </c>
      <c r="Q14" s="19" t="n">
        <v>22</v>
      </c>
      <c r="R14" s="21" t="n">
        <v>5390</v>
      </c>
    </row>
    <row r="15" customFormat="false" ht="15" hidden="false" customHeight="false" outlineLevel="0" collapsed="false">
      <c r="A15" s="22" t="s">
        <v>135</v>
      </c>
      <c r="B15" s="23" t="n">
        <v>44678</v>
      </c>
      <c r="C15" s="22" t="s">
        <v>114</v>
      </c>
      <c r="D15" s="22" t="s">
        <v>115</v>
      </c>
      <c r="E15" s="22" t="n">
        <v>2022</v>
      </c>
      <c r="F15" s="22" t="s">
        <v>136</v>
      </c>
      <c r="G15" s="22" t="s">
        <v>137</v>
      </c>
      <c r="H15" s="23" t="n">
        <v>44677</v>
      </c>
      <c r="I15" s="23" t="n">
        <v>44704</v>
      </c>
      <c r="J15" s="23" t="n">
        <v>44708</v>
      </c>
      <c r="K15" s="22" t="s">
        <v>138</v>
      </c>
      <c r="L15" s="22" t="s">
        <v>71</v>
      </c>
      <c r="M15" s="22" t="s">
        <v>72</v>
      </c>
      <c r="N15" s="22" t="s">
        <v>139</v>
      </c>
      <c r="O15" s="22" t="s">
        <v>82</v>
      </c>
      <c r="P15" s="22" t="s">
        <v>49</v>
      </c>
      <c r="Q15" s="22" t="n">
        <v>100</v>
      </c>
      <c r="R15" s="24" t="n">
        <v>16900</v>
      </c>
    </row>
    <row r="16" customFormat="false" ht="15" hidden="false" customHeight="false" outlineLevel="0" collapsed="false">
      <c r="A16" s="19" t="s">
        <v>140</v>
      </c>
      <c r="B16" s="20" t="n">
        <v>44693</v>
      </c>
      <c r="C16" s="19" t="s">
        <v>141</v>
      </c>
      <c r="D16" s="19" t="s">
        <v>115</v>
      </c>
      <c r="E16" s="19" t="n">
        <v>2022</v>
      </c>
      <c r="F16" s="19" t="s">
        <v>142</v>
      </c>
      <c r="G16" s="19" t="s">
        <v>108</v>
      </c>
      <c r="H16" s="20" t="n">
        <v>44691</v>
      </c>
      <c r="I16" s="20" t="n">
        <v>44739</v>
      </c>
      <c r="J16" s="20" t="n">
        <v>44743</v>
      </c>
      <c r="K16" s="19" t="s">
        <v>143</v>
      </c>
      <c r="L16" s="19" t="s">
        <v>144</v>
      </c>
      <c r="M16" s="19" t="s">
        <v>145</v>
      </c>
      <c r="N16" s="19" t="s">
        <v>146</v>
      </c>
      <c r="O16" s="19" t="s">
        <v>147</v>
      </c>
      <c r="P16" s="19" t="s">
        <v>49</v>
      </c>
      <c r="Q16" s="19" t="n">
        <v>61</v>
      </c>
      <c r="R16" s="21" t="n">
        <v>11529</v>
      </c>
    </row>
    <row r="17" customFormat="false" ht="15" hidden="false" customHeight="false" outlineLevel="0" collapsed="false">
      <c r="A17" s="22" t="s">
        <v>148</v>
      </c>
      <c r="B17" s="23" t="n">
        <v>44693</v>
      </c>
      <c r="C17" s="22" t="s">
        <v>141</v>
      </c>
      <c r="D17" s="22" t="s">
        <v>115</v>
      </c>
      <c r="E17" s="22" t="n">
        <v>2022</v>
      </c>
      <c r="F17" s="22" t="s">
        <v>149</v>
      </c>
      <c r="G17" s="22" t="s">
        <v>133</v>
      </c>
      <c r="H17" s="23" t="n">
        <v>44691</v>
      </c>
      <c r="I17" s="23" t="n">
        <v>44733</v>
      </c>
      <c r="J17" s="23" t="n">
        <v>44735</v>
      </c>
      <c r="K17" s="22" t="s">
        <v>134</v>
      </c>
      <c r="L17" s="22" t="s">
        <v>54</v>
      </c>
      <c r="M17" s="22" t="s">
        <v>103</v>
      </c>
      <c r="N17" s="22" t="s">
        <v>111</v>
      </c>
      <c r="O17" s="22" t="s">
        <v>112</v>
      </c>
      <c r="P17" s="22" t="s">
        <v>49</v>
      </c>
      <c r="Q17" s="22" t="n">
        <v>61</v>
      </c>
      <c r="R17" s="24" t="n">
        <v>16409</v>
      </c>
    </row>
    <row r="18" customFormat="false" ht="15" hidden="false" customHeight="false" outlineLevel="0" collapsed="false">
      <c r="A18" s="19" t="s">
        <v>150</v>
      </c>
      <c r="B18" s="20" t="n">
        <v>44701</v>
      </c>
      <c r="C18" s="19" t="s">
        <v>141</v>
      </c>
      <c r="D18" s="19" t="s">
        <v>115</v>
      </c>
      <c r="E18" s="19" t="n">
        <v>2022</v>
      </c>
      <c r="F18" s="19" t="s">
        <v>151</v>
      </c>
      <c r="G18" s="19" t="s">
        <v>77</v>
      </c>
      <c r="H18" s="20" t="n">
        <v>44698</v>
      </c>
      <c r="I18" s="20" t="n">
        <v>44753</v>
      </c>
      <c r="J18" s="20" t="n">
        <v>44755</v>
      </c>
      <c r="K18" s="19" t="s">
        <v>152</v>
      </c>
      <c r="L18" s="19" t="s">
        <v>79</v>
      </c>
      <c r="M18" s="19" t="s">
        <v>153</v>
      </c>
      <c r="N18" s="19" t="s">
        <v>154</v>
      </c>
      <c r="O18" s="19" t="s">
        <v>155</v>
      </c>
      <c r="P18" s="19" t="s">
        <v>49</v>
      </c>
      <c r="Q18" s="19" t="n">
        <v>62</v>
      </c>
      <c r="R18" s="21" t="n">
        <v>28458</v>
      </c>
    </row>
    <row r="19" customFormat="false" ht="15" hidden="false" customHeight="false" outlineLevel="0" collapsed="false">
      <c r="A19" s="22" t="s">
        <v>156</v>
      </c>
      <c r="B19" s="23" t="n">
        <v>44704</v>
      </c>
      <c r="C19" s="22" t="s">
        <v>141</v>
      </c>
      <c r="D19" s="22" t="s">
        <v>115</v>
      </c>
      <c r="E19" s="22" t="n">
        <v>2022</v>
      </c>
      <c r="F19" s="22" t="s">
        <v>157</v>
      </c>
      <c r="G19" s="22" t="s">
        <v>124</v>
      </c>
      <c r="H19" s="23" t="n">
        <v>44701</v>
      </c>
      <c r="I19" s="23" t="n">
        <v>44760</v>
      </c>
      <c r="J19" s="23" t="n">
        <v>44762</v>
      </c>
      <c r="K19" s="22" t="s">
        <v>125</v>
      </c>
      <c r="L19" s="22" t="s">
        <v>54</v>
      </c>
      <c r="M19" s="22" t="s">
        <v>126</v>
      </c>
      <c r="N19" s="22" t="s">
        <v>111</v>
      </c>
      <c r="O19" s="22" t="s">
        <v>112</v>
      </c>
      <c r="P19" s="22" t="s">
        <v>49</v>
      </c>
      <c r="Q19" s="22" t="n">
        <v>100</v>
      </c>
      <c r="R19" s="24" t="n">
        <v>21900</v>
      </c>
    </row>
    <row r="20" customFormat="false" ht="15" hidden="false" customHeight="false" outlineLevel="0" collapsed="false">
      <c r="A20" s="19" t="s">
        <v>158</v>
      </c>
      <c r="B20" s="20" t="n">
        <v>44704</v>
      </c>
      <c r="C20" s="19" t="s">
        <v>141</v>
      </c>
      <c r="D20" s="19" t="s">
        <v>115</v>
      </c>
      <c r="E20" s="19" t="n">
        <v>2022</v>
      </c>
      <c r="F20" s="19" t="s">
        <v>159</v>
      </c>
      <c r="G20" s="19" t="s">
        <v>160</v>
      </c>
      <c r="H20" s="20" t="n">
        <v>44701</v>
      </c>
      <c r="I20" s="20" t="n">
        <v>44944</v>
      </c>
      <c r="J20" s="20" t="n">
        <v>44949</v>
      </c>
      <c r="K20" s="19" t="s">
        <v>161</v>
      </c>
      <c r="L20" s="19" t="s">
        <v>45</v>
      </c>
      <c r="M20" s="19" t="s">
        <v>45</v>
      </c>
      <c r="N20" s="19" t="s">
        <v>111</v>
      </c>
      <c r="O20" s="19" t="s">
        <v>112</v>
      </c>
      <c r="P20" s="19" t="s">
        <v>49</v>
      </c>
      <c r="Q20" s="19" t="n">
        <v>190</v>
      </c>
      <c r="R20" s="21" t="n">
        <v>40813.75</v>
      </c>
    </row>
    <row r="21" customFormat="false" ht="15" hidden="false" customHeight="false" outlineLevel="0" collapsed="false">
      <c r="A21" s="22" t="s">
        <v>162</v>
      </c>
      <c r="B21" s="23" t="n">
        <v>44707</v>
      </c>
      <c r="C21" s="22" t="s">
        <v>141</v>
      </c>
      <c r="D21" s="22" t="s">
        <v>115</v>
      </c>
      <c r="E21" s="22" t="n">
        <v>2022</v>
      </c>
      <c r="F21" s="22" t="s">
        <v>163</v>
      </c>
      <c r="G21" s="22" t="s">
        <v>94</v>
      </c>
      <c r="H21" s="23" t="n">
        <v>44706</v>
      </c>
      <c r="I21" s="23" t="n">
        <v>44757</v>
      </c>
      <c r="J21" s="23" t="n">
        <v>44758</v>
      </c>
      <c r="K21" s="22" t="s">
        <v>164</v>
      </c>
      <c r="L21" s="22" t="s">
        <v>144</v>
      </c>
      <c r="M21" s="22" t="s">
        <v>145</v>
      </c>
      <c r="N21" s="22" t="s">
        <v>104</v>
      </c>
      <c r="O21" s="22" t="s">
        <v>105</v>
      </c>
      <c r="P21" s="22" t="s">
        <v>49</v>
      </c>
      <c r="Q21" s="22" t="n">
        <v>25</v>
      </c>
      <c r="R21" s="24" t="n">
        <v>5725</v>
      </c>
    </row>
    <row r="22" customFormat="false" ht="15" hidden="false" customHeight="false" outlineLevel="0" collapsed="false">
      <c r="A22" s="19" t="s">
        <v>165</v>
      </c>
      <c r="B22" s="20" t="n">
        <v>44713</v>
      </c>
      <c r="C22" s="19" t="s">
        <v>166</v>
      </c>
      <c r="D22" s="19" t="s">
        <v>115</v>
      </c>
      <c r="E22" s="19" t="n">
        <v>2022</v>
      </c>
      <c r="F22" s="19" t="s">
        <v>167</v>
      </c>
      <c r="G22" s="19" t="s">
        <v>108</v>
      </c>
      <c r="H22" s="20" t="n">
        <v>44712</v>
      </c>
      <c r="I22" s="20" t="n">
        <v>44821</v>
      </c>
      <c r="J22" s="20" t="n">
        <v>44824</v>
      </c>
      <c r="K22" s="19" t="s">
        <v>168</v>
      </c>
      <c r="L22" s="19" t="s">
        <v>71</v>
      </c>
      <c r="M22" s="19" t="s">
        <v>72</v>
      </c>
      <c r="N22" s="19" t="s">
        <v>111</v>
      </c>
      <c r="O22" s="19" t="s">
        <v>112</v>
      </c>
      <c r="P22" s="19" t="s">
        <v>49</v>
      </c>
      <c r="Q22" s="19" t="n">
        <v>24</v>
      </c>
      <c r="R22" s="21" t="n">
        <v>7560</v>
      </c>
    </row>
    <row r="23" customFormat="false" ht="15" hidden="false" customHeight="false" outlineLevel="0" collapsed="false">
      <c r="A23" s="22" t="s">
        <v>169</v>
      </c>
      <c r="B23" s="23" t="n">
        <v>44722</v>
      </c>
      <c r="C23" s="22" t="s">
        <v>166</v>
      </c>
      <c r="D23" s="22" t="s">
        <v>115</v>
      </c>
      <c r="E23" s="22" t="n">
        <v>2022</v>
      </c>
      <c r="F23" s="22" t="s">
        <v>170</v>
      </c>
      <c r="G23" s="22" t="s">
        <v>77</v>
      </c>
      <c r="H23" s="23" t="n">
        <v>44721</v>
      </c>
      <c r="I23" s="23" t="n">
        <v>44983</v>
      </c>
      <c r="J23" s="23" t="n">
        <v>44986</v>
      </c>
      <c r="K23" s="22" t="s">
        <v>171</v>
      </c>
      <c r="L23" s="22" t="s">
        <v>79</v>
      </c>
      <c r="M23" s="22" t="s">
        <v>172</v>
      </c>
      <c r="N23" s="22" t="s">
        <v>173</v>
      </c>
      <c r="O23" s="22" t="s">
        <v>82</v>
      </c>
      <c r="P23" s="22" t="s">
        <v>49</v>
      </c>
      <c r="Q23" s="22" t="n">
        <v>290</v>
      </c>
      <c r="R23" s="24" t="n">
        <v>201030</v>
      </c>
    </row>
    <row r="24" customFormat="false" ht="15" hidden="false" customHeight="false" outlineLevel="0" collapsed="false">
      <c r="A24" s="19" t="s">
        <v>174</v>
      </c>
      <c r="B24" s="20" t="n">
        <v>44722</v>
      </c>
      <c r="C24" s="19" t="s">
        <v>166</v>
      </c>
      <c r="D24" s="19" t="s">
        <v>115</v>
      </c>
      <c r="E24" s="19" t="n">
        <v>2022</v>
      </c>
      <c r="F24" s="19" t="s">
        <v>175</v>
      </c>
      <c r="G24" s="19" t="s">
        <v>160</v>
      </c>
      <c r="H24" s="20" t="n">
        <v>44722</v>
      </c>
      <c r="I24" s="20" t="n">
        <v>44939</v>
      </c>
      <c r="J24" s="20" t="n">
        <v>44941</v>
      </c>
      <c r="K24" s="19" t="s">
        <v>176</v>
      </c>
      <c r="L24" s="19" t="s">
        <v>79</v>
      </c>
      <c r="M24" s="19" t="s">
        <v>79</v>
      </c>
      <c r="N24" s="19" t="s">
        <v>177</v>
      </c>
      <c r="O24" s="19" t="s">
        <v>121</v>
      </c>
      <c r="P24" s="19" t="s">
        <v>49</v>
      </c>
      <c r="Q24" s="19" t="n">
        <v>57</v>
      </c>
      <c r="R24" s="21" t="n">
        <v>9063</v>
      </c>
    </row>
    <row r="25" customFormat="false" ht="15" hidden="false" customHeight="false" outlineLevel="0" collapsed="false">
      <c r="A25" s="22" t="s">
        <v>178</v>
      </c>
      <c r="B25" s="23" t="n">
        <v>44740</v>
      </c>
      <c r="C25" s="22" t="s">
        <v>166</v>
      </c>
      <c r="D25" s="22" t="s">
        <v>115</v>
      </c>
      <c r="E25" s="22" t="n">
        <v>2022</v>
      </c>
      <c r="F25" s="22" t="s">
        <v>179</v>
      </c>
      <c r="G25" s="22" t="s">
        <v>180</v>
      </c>
      <c r="H25" s="23" t="n">
        <v>44739</v>
      </c>
      <c r="I25" s="23" t="n">
        <v>44832</v>
      </c>
      <c r="J25" s="23" t="n">
        <v>44834</v>
      </c>
      <c r="K25" s="22" t="s">
        <v>181</v>
      </c>
      <c r="L25" s="22" t="s">
        <v>71</v>
      </c>
      <c r="M25" s="22" t="s">
        <v>72</v>
      </c>
      <c r="N25" s="22" t="s">
        <v>182</v>
      </c>
      <c r="O25" s="22" t="s">
        <v>183</v>
      </c>
      <c r="P25" s="22" t="s">
        <v>49</v>
      </c>
      <c r="Q25" s="22" t="n">
        <v>32</v>
      </c>
      <c r="R25" s="24" t="n">
        <v>8288</v>
      </c>
    </row>
    <row r="26" customFormat="false" ht="15" hidden="false" customHeight="false" outlineLevel="0" collapsed="false">
      <c r="A26" s="19" t="s">
        <v>184</v>
      </c>
      <c r="B26" s="20" t="n">
        <v>44742</v>
      </c>
      <c r="C26" s="19" t="s">
        <v>166</v>
      </c>
      <c r="D26" s="19" t="s">
        <v>115</v>
      </c>
      <c r="E26" s="19" t="n">
        <v>2022</v>
      </c>
      <c r="F26" s="19" t="s">
        <v>185</v>
      </c>
      <c r="G26" s="19" t="s">
        <v>94</v>
      </c>
      <c r="H26" s="20" t="n">
        <v>44742</v>
      </c>
      <c r="I26" s="20" t="n">
        <v>44771</v>
      </c>
      <c r="J26" s="20" t="n">
        <v>44772</v>
      </c>
      <c r="K26" s="19" t="s">
        <v>186</v>
      </c>
      <c r="L26" s="19" t="s">
        <v>54</v>
      </c>
      <c r="M26" s="19" t="s">
        <v>187</v>
      </c>
      <c r="N26" s="19" t="s">
        <v>188</v>
      </c>
      <c r="O26" s="19" t="s">
        <v>189</v>
      </c>
      <c r="P26" s="19" t="s">
        <v>49</v>
      </c>
      <c r="Q26" s="19" t="n">
        <v>25</v>
      </c>
      <c r="R26" s="21" t="n">
        <v>6475</v>
      </c>
    </row>
    <row r="27" customFormat="false" ht="15" hidden="false" customHeight="false" outlineLevel="0" collapsed="false">
      <c r="A27" s="22" t="s">
        <v>190</v>
      </c>
      <c r="B27" s="23" t="n">
        <v>44742</v>
      </c>
      <c r="C27" s="22" t="s">
        <v>166</v>
      </c>
      <c r="D27" s="22" t="s">
        <v>115</v>
      </c>
      <c r="E27" s="22" t="n">
        <v>2022</v>
      </c>
      <c r="F27" s="22" t="s">
        <v>191</v>
      </c>
      <c r="G27" s="22" t="s">
        <v>192</v>
      </c>
      <c r="H27" s="23" t="n">
        <v>44742</v>
      </c>
      <c r="I27" s="23" t="n">
        <v>44898</v>
      </c>
      <c r="J27" s="23" t="n">
        <v>44901</v>
      </c>
      <c r="K27" s="22" t="s">
        <v>193</v>
      </c>
      <c r="L27" s="22" t="s">
        <v>79</v>
      </c>
      <c r="M27" s="22" t="s">
        <v>96</v>
      </c>
      <c r="N27" s="22" t="s">
        <v>194</v>
      </c>
      <c r="O27" s="22" t="s">
        <v>98</v>
      </c>
      <c r="P27" s="22" t="s">
        <v>49</v>
      </c>
      <c r="Q27" s="22" t="n">
        <v>81</v>
      </c>
      <c r="R27" s="24" t="n">
        <v>21789</v>
      </c>
    </row>
    <row r="28" customFormat="false" ht="15" hidden="false" customHeight="false" outlineLevel="0" collapsed="false">
      <c r="A28" s="19" t="s">
        <v>195</v>
      </c>
      <c r="B28" s="20" t="n">
        <v>44762</v>
      </c>
      <c r="C28" s="19" t="s">
        <v>196</v>
      </c>
      <c r="D28" s="19" t="s">
        <v>197</v>
      </c>
      <c r="E28" s="19" t="n">
        <v>2022</v>
      </c>
      <c r="F28" s="19" t="s">
        <v>198</v>
      </c>
      <c r="G28" s="19" t="s">
        <v>94</v>
      </c>
      <c r="H28" s="20" t="n">
        <v>44761</v>
      </c>
      <c r="I28" s="20" t="n">
        <v>44782</v>
      </c>
      <c r="J28" s="20" t="n">
        <v>44783</v>
      </c>
      <c r="K28" s="19" t="s">
        <v>199</v>
      </c>
      <c r="L28" s="19" t="s">
        <v>79</v>
      </c>
      <c r="M28" s="19" t="s">
        <v>96</v>
      </c>
      <c r="N28" s="19" t="s">
        <v>200</v>
      </c>
      <c r="O28" s="19" t="s">
        <v>201</v>
      </c>
      <c r="P28" s="19" t="s">
        <v>49</v>
      </c>
      <c r="Q28" s="19" t="n">
        <v>25</v>
      </c>
      <c r="R28" s="21" t="n">
        <v>6975</v>
      </c>
    </row>
    <row r="29" customFormat="false" ht="15" hidden="false" customHeight="false" outlineLevel="0" collapsed="false">
      <c r="A29" s="22" t="s">
        <v>202</v>
      </c>
      <c r="B29" s="23" t="n">
        <v>44768</v>
      </c>
      <c r="C29" s="22" t="s">
        <v>196</v>
      </c>
      <c r="D29" s="22" t="s">
        <v>197</v>
      </c>
      <c r="E29" s="22" t="n">
        <v>2022</v>
      </c>
      <c r="F29" s="22" t="s">
        <v>203</v>
      </c>
      <c r="G29" s="22" t="s">
        <v>204</v>
      </c>
      <c r="H29" s="23" t="n">
        <v>44763</v>
      </c>
      <c r="I29" s="23" t="n">
        <v>44898</v>
      </c>
      <c r="J29" s="23" t="n">
        <v>44900</v>
      </c>
      <c r="K29" s="22" t="s">
        <v>205</v>
      </c>
      <c r="L29" s="22" t="s">
        <v>71</v>
      </c>
      <c r="M29" s="22" t="s">
        <v>72</v>
      </c>
      <c r="N29" s="22" t="s">
        <v>206</v>
      </c>
      <c r="O29" s="22" t="s">
        <v>207</v>
      </c>
      <c r="P29" s="22" t="s">
        <v>49</v>
      </c>
      <c r="Q29" s="22" t="n">
        <v>22</v>
      </c>
      <c r="R29" s="24" t="n">
        <v>6558</v>
      </c>
    </row>
    <row r="30" customFormat="false" ht="15" hidden="false" customHeight="false" outlineLevel="0" collapsed="false">
      <c r="A30" s="19" t="s">
        <v>208</v>
      </c>
      <c r="B30" s="20" t="n">
        <v>44768</v>
      </c>
      <c r="C30" s="19" t="s">
        <v>196</v>
      </c>
      <c r="D30" s="19" t="s">
        <v>197</v>
      </c>
      <c r="E30" s="19" t="n">
        <v>2022</v>
      </c>
      <c r="F30" s="19" t="s">
        <v>209</v>
      </c>
      <c r="G30" s="19" t="s">
        <v>94</v>
      </c>
      <c r="H30" s="20" t="n">
        <v>44763</v>
      </c>
      <c r="I30" s="20" t="n">
        <v>44791</v>
      </c>
      <c r="J30" s="20" t="n">
        <v>44792</v>
      </c>
      <c r="K30" s="19" t="s">
        <v>210</v>
      </c>
      <c r="L30" s="19" t="s">
        <v>211</v>
      </c>
      <c r="M30" s="19" t="s">
        <v>212</v>
      </c>
      <c r="N30" s="19" t="s">
        <v>182</v>
      </c>
      <c r="O30" s="19" t="s">
        <v>183</v>
      </c>
      <c r="P30" s="19" t="s">
        <v>49</v>
      </c>
      <c r="Q30" s="19" t="n">
        <v>25</v>
      </c>
      <c r="R30" s="21" t="n">
        <v>4975</v>
      </c>
    </row>
    <row r="31" customFormat="false" ht="15" hidden="false" customHeight="false" outlineLevel="0" collapsed="false">
      <c r="A31" s="22" t="s">
        <v>213</v>
      </c>
      <c r="B31" s="23" t="n">
        <v>44768</v>
      </c>
      <c r="C31" s="22" t="s">
        <v>196</v>
      </c>
      <c r="D31" s="22" t="s">
        <v>197</v>
      </c>
      <c r="E31" s="22" t="n">
        <v>2022</v>
      </c>
      <c r="F31" s="22" t="s">
        <v>100</v>
      </c>
      <c r="G31" s="22" t="s">
        <v>101</v>
      </c>
      <c r="H31" s="23" t="n">
        <v>44763</v>
      </c>
      <c r="I31" s="23" t="n">
        <v>44825</v>
      </c>
      <c r="J31" s="23" t="n">
        <v>44827</v>
      </c>
      <c r="K31" s="22" t="s">
        <v>214</v>
      </c>
      <c r="L31" s="22" t="s">
        <v>54</v>
      </c>
      <c r="M31" s="22" t="s">
        <v>126</v>
      </c>
      <c r="N31" s="22" t="s">
        <v>215</v>
      </c>
      <c r="O31" s="22" t="s">
        <v>216</v>
      </c>
      <c r="P31" s="22" t="s">
        <v>49</v>
      </c>
      <c r="Q31" s="22" t="n">
        <v>20</v>
      </c>
      <c r="R31" s="24" t="n">
        <v>4000</v>
      </c>
    </row>
    <row r="32" customFormat="false" ht="15" hidden="false" customHeight="false" outlineLevel="0" collapsed="false">
      <c r="A32" s="19" t="s">
        <v>217</v>
      </c>
      <c r="B32" s="20" t="n">
        <v>44769</v>
      </c>
      <c r="C32" s="19" t="s">
        <v>196</v>
      </c>
      <c r="D32" s="19" t="s">
        <v>197</v>
      </c>
      <c r="E32" s="19" t="n">
        <v>2022</v>
      </c>
      <c r="F32" s="19" t="s">
        <v>218</v>
      </c>
      <c r="G32" s="19" t="s">
        <v>180</v>
      </c>
      <c r="H32" s="20" t="n">
        <v>44768</v>
      </c>
      <c r="I32" s="20" t="n">
        <v>44796</v>
      </c>
      <c r="J32" s="20" t="n">
        <v>44799</v>
      </c>
      <c r="K32" s="19" t="s">
        <v>219</v>
      </c>
      <c r="L32" s="19" t="s">
        <v>71</v>
      </c>
      <c r="M32" s="19" t="s">
        <v>72</v>
      </c>
      <c r="N32" s="19" t="s">
        <v>182</v>
      </c>
      <c r="O32" s="19" t="s">
        <v>183</v>
      </c>
      <c r="P32" s="19" t="s">
        <v>49</v>
      </c>
      <c r="Q32" s="19" t="n">
        <v>62</v>
      </c>
      <c r="R32" s="21" t="n">
        <v>18538</v>
      </c>
    </row>
    <row r="33" customFormat="false" ht="15" hidden="false" customHeight="false" outlineLevel="0" collapsed="false">
      <c r="A33" s="22" t="s">
        <v>220</v>
      </c>
      <c r="B33" s="23" t="n">
        <v>44776</v>
      </c>
      <c r="C33" s="22" t="s">
        <v>221</v>
      </c>
      <c r="D33" s="22" t="s">
        <v>197</v>
      </c>
      <c r="E33" s="22" t="n">
        <v>2022</v>
      </c>
      <c r="F33" s="22" t="s">
        <v>222</v>
      </c>
      <c r="G33" s="22" t="s">
        <v>94</v>
      </c>
      <c r="H33" s="23" t="n">
        <v>44774</v>
      </c>
      <c r="I33" s="23" t="n">
        <v>44790</v>
      </c>
      <c r="J33" s="23" t="n">
        <v>44791</v>
      </c>
      <c r="K33" s="22" t="s">
        <v>210</v>
      </c>
      <c r="L33" s="22" t="s">
        <v>211</v>
      </c>
      <c r="M33" s="22" t="s">
        <v>212</v>
      </c>
      <c r="N33" s="22" t="s">
        <v>182</v>
      </c>
      <c r="O33" s="22" t="s">
        <v>183</v>
      </c>
      <c r="P33" s="22" t="s">
        <v>49</v>
      </c>
      <c r="Q33" s="22" t="n">
        <v>25</v>
      </c>
      <c r="R33" s="24" t="n">
        <v>4975</v>
      </c>
    </row>
    <row r="34" customFormat="false" ht="15" hidden="false" customHeight="false" outlineLevel="0" collapsed="false">
      <c r="A34" s="19" t="s">
        <v>223</v>
      </c>
      <c r="B34" s="20" t="n">
        <v>44785</v>
      </c>
      <c r="C34" s="19" t="s">
        <v>221</v>
      </c>
      <c r="D34" s="19" t="s">
        <v>197</v>
      </c>
      <c r="E34" s="19" t="n">
        <v>2022</v>
      </c>
      <c r="F34" s="19" t="s">
        <v>224</v>
      </c>
      <c r="G34" s="19" t="s">
        <v>77</v>
      </c>
      <c r="H34" s="20" t="n">
        <v>44783</v>
      </c>
      <c r="I34" s="20" t="n">
        <v>44815</v>
      </c>
      <c r="J34" s="20" t="n">
        <v>44819</v>
      </c>
      <c r="K34" s="19" t="s">
        <v>225</v>
      </c>
      <c r="L34" s="19" t="s">
        <v>71</v>
      </c>
      <c r="M34" s="19" t="s">
        <v>72</v>
      </c>
      <c r="N34" s="19" t="s">
        <v>111</v>
      </c>
      <c r="O34" s="19" t="s">
        <v>112</v>
      </c>
      <c r="P34" s="19" t="s">
        <v>49</v>
      </c>
      <c r="Q34" s="19" t="n">
        <v>38</v>
      </c>
      <c r="R34" s="21" t="n">
        <v>20482</v>
      </c>
    </row>
    <row r="35" customFormat="false" ht="15" hidden="false" customHeight="false" outlineLevel="0" collapsed="false">
      <c r="A35" s="22" t="s">
        <v>226</v>
      </c>
      <c r="B35" s="23" t="n">
        <v>44790</v>
      </c>
      <c r="C35" s="22" t="s">
        <v>221</v>
      </c>
      <c r="D35" s="22" t="s">
        <v>197</v>
      </c>
      <c r="E35" s="22" t="n">
        <v>2022</v>
      </c>
      <c r="F35" s="22" t="s">
        <v>227</v>
      </c>
      <c r="G35" s="22" t="s">
        <v>43</v>
      </c>
      <c r="H35" s="23" t="n">
        <v>44790</v>
      </c>
      <c r="I35" s="23" t="n">
        <v>45035</v>
      </c>
      <c r="J35" s="23" t="n">
        <v>45037</v>
      </c>
      <c r="K35" s="22" t="s">
        <v>228</v>
      </c>
      <c r="L35" s="22" t="s">
        <v>79</v>
      </c>
      <c r="M35" s="22" t="s">
        <v>119</v>
      </c>
      <c r="N35" s="22" t="s">
        <v>229</v>
      </c>
      <c r="O35" s="22" t="s">
        <v>66</v>
      </c>
      <c r="P35" s="22" t="s">
        <v>49</v>
      </c>
      <c r="Q35" s="22" t="n">
        <v>100</v>
      </c>
      <c r="R35" s="24" t="n">
        <v>18460</v>
      </c>
    </row>
    <row r="36" customFormat="false" ht="15" hidden="false" customHeight="false" outlineLevel="0" collapsed="false">
      <c r="A36" s="19" t="s">
        <v>230</v>
      </c>
      <c r="B36" s="20" t="n">
        <v>44795</v>
      </c>
      <c r="C36" s="19" t="s">
        <v>221</v>
      </c>
      <c r="D36" s="19" t="s">
        <v>197</v>
      </c>
      <c r="E36" s="19" t="n">
        <v>2022</v>
      </c>
      <c r="F36" s="19" t="s">
        <v>231</v>
      </c>
      <c r="G36" s="19" t="s">
        <v>180</v>
      </c>
      <c r="H36" s="20" t="n">
        <v>44792</v>
      </c>
      <c r="I36" s="20" t="n">
        <v>45049</v>
      </c>
      <c r="J36" s="20" t="n">
        <v>45051</v>
      </c>
      <c r="K36" s="19" t="s">
        <v>232</v>
      </c>
      <c r="L36" s="19" t="s">
        <v>144</v>
      </c>
      <c r="M36" s="19" t="s">
        <v>233</v>
      </c>
      <c r="N36" s="19" t="s">
        <v>229</v>
      </c>
      <c r="O36" s="19" t="s">
        <v>66</v>
      </c>
      <c r="P36" s="19" t="s">
        <v>49</v>
      </c>
      <c r="Q36" s="19" t="n">
        <v>1043</v>
      </c>
      <c r="R36" s="21" t="n">
        <v>324949</v>
      </c>
    </row>
    <row r="37" customFormat="false" ht="15" hidden="false" customHeight="false" outlineLevel="0" collapsed="false">
      <c r="A37" s="22" t="s">
        <v>234</v>
      </c>
      <c r="B37" s="23" t="n">
        <v>44802</v>
      </c>
      <c r="C37" s="22" t="s">
        <v>221</v>
      </c>
      <c r="D37" s="22" t="s">
        <v>197</v>
      </c>
      <c r="E37" s="22" t="n">
        <v>2022</v>
      </c>
      <c r="F37" s="22" t="s">
        <v>235</v>
      </c>
      <c r="G37" s="22" t="s">
        <v>77</v>
      </c>
      <c r="H37" s="23" t="n">
        <v>44799</v>
      </c>
      <c r="I37" s="23" t="n">
        <v>44860</v>
      </c>
      <c r="J37" s="23" t="n">
        <v>44862</v>
      </c>
      <c r="K37" s="22" t="s">
        <v>236</v>
      </c>
      <c r="L37" s="22" t="s">
        <v>87</v>
      </c>
      <c r="M37" s="22" t="s">
        <v>237</v>
      </c>
      <c r="N37" s="22" t="s">
        <v>206</v>
      </c>
      <c r="O37" s="22" t="s">
        <v>238</v>
      </c>
      <c r="P37" s="22" t="s">
        <v>49</v>
      </c>
      <c r="Q37" s="22" t="n">
        <v>40</v>
      </c>
      <c r="R37" s="24" t="n">
        <v>41720</v>
      </c>
    </row>
    <row r="38" customFormat="false" ht="15" hidden="false" customHeight="false" outlineLevel="0" collapsed="false">
      <c r="A38" s="19" t="s">
        <v>239</v>
      </c>
      <c r="B38" s="20" t="n">
        <v>44802</v>
      </c>
      <c r="C38" s="19" t="s">
        <v>221</v>
      </c>
      <c r="D38" s="19" t="s">
        <v>197</v>
      </c>
      <c r="E38" s="19" t="n">
        <v>2022</v>
      </c>
      <c r="F38" s="19" t="s">
        <v>240</v>
      </c>
      <c r="G38" s="19" t="s">
        <v>241</v>
      </c>
      <c r="H38" s="20" t="n">
        <v>44802</v>
      </c>
      <c r="I38" s="20" t="n">
        <v>44877</v>
      </c>
      <c r="J38" s="20" t="n">
        <v>44885</v>
      </c>
      <c r="K38" s="19" t="s">
        <v>242</v>
      </c>
      <c r="L38" s="19" t="s">
        <v>79</v>
      </c>
      <c r="M38" s="19" t="s">
        <v>119</v>
      </c>
      <c r="N38" s="19" t="s">
        <v>243</v>
      </c>
      <c r="O38" s="19" t="s">
        <v>121</v>
      </c>
      <c r="P38" s="19" t="s">
        <v>49</v>
      </c>
      <c r="Q38" s="19" t="n">
        <v>411</v>
      </c>
      <c r="R38" s="21" t="n">
        <v>94119</v>
      </c>
    </row>
    <row r="39" customFormat="false" ht="15" hidden="false" customHeight="false" outlineLevel="0" collapsed="false">
      <c r="A39" s="22" t="s">
        <v>244</v>
      </c>
      <c r="B39" s="23" t="n">
        <v>44805</v>
      </c>
      <c r="C39" s="22" t="s">
        <v>245</v>
      </c>
      <c r="D39" s="22" t="s">
        <v>197</v>
      </c>
      <c r="E39" s="22" t="n">
        <v>2022</v>
      </c>
      <c r="F39" s="22" t="s">
        <v>246</v>
      </c>
      <c r="G39" s="22" t="s">
        <v>247</v>
      </c>
      <c r="H39" s="23" t="n">
        <v>44803</v>
      </c>
      <c r="I39" s="23" t="n">
        <v>44981</v>
      </c>
      <c r="J39" s="23" t="n">
        <v>44982</v>
      </c>
      <c r="K39" s="22" t="s">
        <v>248</v>
      </c>
      <c r="L39" s="22" t="s">
        <v>249</v>
      </c>
      <c r="M39" s="22" t="s">
        <v>249</v>
      </c>
      <c r="N39" s="22" t="s">
        <v>250</v>
      </c>
      <c r="O39" s="22" t="s">
        <v>112</v>
      </c>
      <c r="P39" s="22" t="s">
        <v>49</v>
      </c>
      <c r="Q39" s="22" t="n">
        <v>10</v>
      </c>
      <c r="R39" s="24" t="n">
        <v>1790</v>
      </c>
    </row>
    <row r="40" customFormat="false" ht="15" hidden="false" customHeight="false" outlineLevel="0" collapsed="false">
      <c r="A40" s="19" t="s">
        <v>251</v>
      </c>
      <c r="B40" s="20" t="n">
        <v>44826</v>
      </c>
      <c r="C40" s="19" t="s">
        <v>245</v>
      </c>
      <c r="D40" s="19" t="s">
        <v>197</v>
      </c>
      <c r="E40" s="19" t="n">
        <v>2022</v>
      </c>
      <c r="F40" s="19" t="s">
        <v>252</v>
      </c>
      <c r="G40" s="19" t="s">
        <v>108</v>
      </c>
      <c r="H40" s="20" t="n">
        <v>44825</v>
      </c>
      <c r="I40" s="20" t="n">
        <v>44882</v>
      </c>
      <c r="J40" s="20" t="n">
        <v>44884</v>
      </c>
      <c r="K40" s="19" t="s">
        <v>109</v>
      </c>
      <c r="L40" s="19" t="s">
        <v>79</v>
      </c>
      <c r="M40" s="19" t="s">
        <v>110</v>
      </c>
      <c r="N40" s="19" t="s">
        <v>111</v>
      </c>
      <c r="O40" s="19" t="s">
        <v>112</v>
      </c>
      <c r="P40" s="19" t="s">
        <v>49</v>
      </c>
      <c r="Q40" s="19" t="n">
        <v>20</v>
      </c>
      <c r="R40" s="21" t="n">
        <v>5980</v>
      </c>
    </row>
    <row r="41" customFormat="false" ht="15" hidden="false" customHeight="false" outlineLevel="0" collapsed="false">
      <c r="A41" s="22" t="s">
        <v>253</v>
      </c>
      <c r="B41" s="23" t="n">
        <v>44834</v>
      </c>
      <c r="C41" s="22" t="s">
        <v>245</v>
      </c>
      <c r="D41" s="22" t="s">
        <v>197</v>
      </c>
      <c r="E41" s="22" t="n">
        <v>2022</v>
      </c>
      <c r="F41" s="22" t="s">
        <v>254</v>
      </c>
      <c r="G41" s="22" t="s">
        <v>133</v>
      </c>
      <c r="H41" s="23" t="n">
        <v>44834</v>
      </c>
      <c r="I41" s="23" t="n">
        <v>44860</v>
      </c>
      <c r="J41" s="23" t="n">
        <v>44861</v>
      </c>
      <c r="K41" s="22" t="s">
        <v>255</v>
      </c>
      <c r="L41" s="22" t="s">
        <v>45</v>
      </c>
      <c r="M41" s="22" t="s">
        <v>256</v>
      </c>
      <c r="N41" s="22" t="s">
        <v>257</v>
      </c>
      <c r="O41" s="22"/>
      <c r="P41" s="22" t="s">
        <v>258</v>
      </c>
      <c r="Q41" s="22" t="n">
        <v>11</v>
      </c>
      <c r="R41" s="24" t="n">
        <v>1530.1</v>
      </c>
    </row>
    <row r="42" customFormat="false" ht="15" hidden="false" customHeight="false" outlineLevel="0" collapsed="false">
      <c r="A42" s="19" t="s">
        <v>259</v>
      </c>
      <c r="B42" s="20" t="n">
        <v>44834</v>
      </c>
      <c r="C42" s="19" t="s">
        <v>245</v>
      </c>
      <c r="D42" s="19" t="s">
        <v>197</v>
      </c>
      <c r="E42" s="19" t="n">
        <v>2022</v>
      </c>
      <c r="F42" s="19" t="s">
        <v>254</v>
      </c>
      <c r="G42" s="19" t="s">
        <v>133</v>
      </c>
      <c r="H42" s="20" t="n">
        <v>44834</v>
      </c>
      <c r="I42" s="20" t="n">
        <v>44861</v>
      </c>
      <c r="J42" s="20" t="n">
        <v>44863</v>
      </c>
      <c r="K42" s="19" t="s">
        <v>260</v>
      </c>
      <c r="L42" s="19" t="s">
        <v>71</v>
      </c>
      <c r="M42" s="19" t="s">
        <v>72</v>
      </c>
      <c r="N42" s="19" t="s">
        <v>261</v>
      </c>
      <c r="O42" s="19"/>
      <c r="P42" s="19" t="s">
        <v>258</v>
      </c>
      <c r="Q42" s="19" t="n">
        <v>24</v>
      </c>
      <c r="R42" s="21" t="n">
        <v>5040</v>
      </c>
    </row>
    <row r="43" customFormat="false" ht="15" hidden="false" customHeight="false" outlineLevel="0" collapsed="false">
      <c r="A43" s="22" t="s">
        <v>262</v>
      </c>
      <c r="B43" s="23" t="n">
        <v>44834</v>
      </c>
      <c r="C43" s="22" t="s">
        <v>245</v>
      </c>
      <c r="D43" s="22" t="s">
        <v>197</v>
      </c>
      <c r="E43" s="22" t="n">
        <v>2022</v>
      </c>
      <c r="F43" s="22" t="s">
        <v>263</v>
      </c>
      <c r="G43" s="22" t="s">
        <v>124</v>
      </c>
      <c r="H43" s="23" t="n">
        <v>44830</v>
      </c>
      <c r="I43" s="23" t="n">
        <v>44897</v>
      </c>
      <c r="J43" s="23" t="n">
        <v>44899</v>
      </c>
      <c r="K43" s="22" t="s">
        <v>264</v>
      </c>
      <c r="L43" s="22" t="s">
        <v>79</v>
      </c>
      <c r="M43" s="22" t="s">
        <v>96</v>
      </c>
      <c r="N43" s="22" t="s">
        <v>111</v>
      </c>
      <c r="O43" s="22" t="s">
        <v>112</v>
      </c>
      <c r="P43" s="22" t="s">
        <v>49</v>
      </c>
      <c r="Q43" s="22" t="n">
        <v>30</v>
      </c>
      <c r="R43" s="24" t="n">
        <v>12750</v>
      </c>
    </row>
    <row r="44" customFormat="false" ht="15" hidden="false" customHeight="false" outlineLevel="0" collapsed="false">
      <c r="A44" s="19" t="s">
        <v>265</v>
      </c>
      <c r="B44" s="20" t="n">
        <v>44834</v>
      </c>
      <c r="C44" s="19" t="s">
        <v>245</v>
      </c>
      <c r="D44" s="19" t="s">
        <v>197</v>
      </c>
      <c r="E44" s="19" t="n">
        <v>2022</v>
      </c>
      <c r="F44" s="19" t="s">
        <v>266</v>
      </c>
      <c r="G44" s="19" t="s">
        <v>52</v>
      </c>
      <c r="H44" s="20" t="n">
        <v>44832</v>
      </c>
      <c r="I44" s="20" t="n">
        <v>45050</v>
      </c>
      <c r="J44" s="20" t="n">
        <v>45051</v>
      </c>
      <c r="K44" s="19" t="s">
        <v>267</v>
      </c>
      <c r="L44" s="19" t="s">
        <v>79</v>
      </c>
      <c r="M44" s="19" t="s">
        <v>96</v>
      </c>
      <c r="N44" s="19" t="s">
        <v>268</v>
      </c>
      <c r="O44" s="19" t="s">
        <v>57</v>
      </c>
      <c r="P44" s="19" t="s">
        <v>49</v>
      </c>
      <c r="Q44" s="19" t="n">
        <v>156</v>
      </c>
      <c r="R44" s="21" t="n">
        <v>35244</v>
      </c>
    </row>
    <row r="45" customFormat="false" ht="15" hidden="false" customHeight="false" outlineLevel="0" collapsed="false">
      <c r="A45" s="22" t="s">
        <v>269</v>
      </c>
      <c r="B45" s="23" t="n">
        <v>44837</v>
      </c>
      <c r="C45" s="22" t="s">
        <v>270</v>
      </c>
      <c r="D45" s="22" t="s">
        <v>271</v>
      </c>
      <c r="E45" s="22" t="n">
        <v>2022</v>
      </c>
      <c r="F45" s="22" t="s">
        <v>272</v>
      </c>
      <c r="G45" s="22" t="s">
        <v>241</v>
      </c>
      <c r="H45" s="23" t="n">
        <v>44837</v>
      </c>
      <c r="I45" s="23" t="n">
        <v>44925</v>
      </c>
      <c r="J45" s="23" t="n">
        <v>44927</v>
      </c>
      <c r="K45" s="22" t="s">
        <v>273</v>
      </c>
      <c r="L45" s="22" t="s">
        <v>45</v>
      </c>
      <c r="M45" s="22" t="s">
        <v>274</v>
      </c>
      <c r="N45" s="22" t="s">
        <v>111</v>
      </c>
      <c r="O45" s="22" t="s">
        <v>112</v>
      </c>
      <c r="P45" s="22" t="s">
        <v>49</v>
      </c>
      <c r="Q45" s="22" t="n">
        <v>47</v>
      </c>
      <c r="R45" s="24" t="n">
        <v>12173</v>
      </c>
    </row>
    <row r="46" customFormat="false" ht="15" hidden="false" customHeight="false" outlineLevel="0" collapsed="false">
      <c r="A46" s="19" t="s">
        <v>275</v>
      </c>
      <c r="B46" s="20" t="n">
        <v>44848</v>
      </c>
      <c r="C46" s="19" t="s">
        <v>270</v>
      </c>
      <c r="D46" s="19" t="s">
        <v>271</v>
      </c>
      <c r="E46" s="19" t="n">
        <v>2022</v>
      </c>
      <c r="F46" s="19" t="s">
        <v>276</v>
      </c>
      <c r="G46" s="19" t="s">
        <v>277</v>
      </c>
      <c r="H46" s="20" t="n">
        <v>44846</v>
      </c>
      <c r="I46" s="20" t="n">
        <v>44883</v>
      </c>
      <c r="J46" s="20" t="n">
        <v>44884</v>
      </c>
      <c r="K46" s="19" t="s">
        <v>186</v>
      </c>
      <c r="L46" s="19" t="s">
        <v>54</v>
      </c>
      <c r="M46" s="19" t="s">
        <v>187</v>
      </c>
      <c r="N46" s="19" t="s">
        <v>188</v>
      </c>
      <c r="O46" s="19" t="s">
        <v>189</v>
      </c>
      <c r="P46" s="19" t="s">
        <v>49</v>
      </c>
      <c r="Q46" s="19" t="n">
        <v>23</v>
      </c>
      <c r="R46" s="21" t="n">
        <v>6298</v>
      </c>
    </row>
    <row r="47" customFormat="false" ht="15" hidden="false" customHeight="false" outlineLevel="0" collapsed="false">
      <c r="A47" s="22" t="s">
        <v>278</v>
      </c>
      <c r="B47" s="23" t="n">
        <v>44865</v>
      </c>
      <c r="C47" s="22" t="s">
        <v>270</v>
      </c>
      <c r="D47" s="22" t="s">
        <v>271</v>
      </c>
      <c r="E47" s="22" t="n">
        <v>2022</v>
      </c>
      <c r="F47" s="22" t="s">
        <v>279</v>
      </c>
      <c r="G47" s="22" t="s">
        <v>280</v>
      </c>
      <c r="H47" s="23" t="n">
        <v>44865</v>
      </c>
      <c r="I47" s="23" t="n">
        <v>44877</v>
      </c>
      <c r="J47" s="23" t="n">
        <v>44881</v>
      </c>
      <c r="K47" s="22" t="s">
        <v>281</v>
      </c>
      <c r="L47" s="22" t="s">
        <v>79</v>
      </c>
      <c r="M47" s="22" t="s">
        <v>79</v>
      </c>
      <c r="N47" s="22" t="s">
        <v>282</v>
      </c>
      <c r="O47" s="22" t="s">
        <v>121</v>
      </c>
      <c r="P47" s="22" t="s">
        <v>49</v>
      </c>
      <c r="Q47" s="22" t="n">
        <v>165</v>
      </c>
      <c r="R47" s="24" t="n">
        <v>42735</v>
      </c>
    </row>
    <row r="48" customFormat="false" ht="15" hidden="false" customHeight="false" outlineLevel="0" collapsed="false">
      <c r="A48" s="19" t="s">
        <v>283</v>
      </c>
      <c r="B48" s="20" t="n">
        <v>44865</v>
      </c>
      <c r="C48" s="19" t="s">
        <v>270</v>
      </c>
      <c r="D48" s="19" t="s">
        <v>271</v>
      </c>
      <c r="E48" s="19" t="n">
        <v>2022</v>
      </c>
      <c r="F48" s="19" t="s">
        <v>284</v>
      </c>
      <c r="G48" s="19" t="s">
        <v>77</v>
      </c>
      <c r="H48" s="20" t="n">
        <v>44861</v>
      </c>
      <c r="I48" s="20" t="n">
        <v>44900</v>
      </c>
      <c r="J48" s="20" t="n">
        <v>44903</v>
      </c>
      <c r="K48" s="19" t="s">
        <v>225</v>
      </c>
      <c r="L48" s="19" t="s">
        <v>71</v>
      </c>
      <c r="M48" s="19" t="s">
        <v>72</v>
      </c>
      <c r="N48" s="19" t="s">
        <v>111</v>
      </c>
      <c r="O48" s="19" t="s">
        <v>112</v>
      </c>
      <c r="P48" s="19" t="s">
        <v>49</v>
      </c>
      <c r="Q48" s="19" t="n">
        <v>43</v>
      </c>
      <c r="R48" s="21" t="n">
        <v>32207</v>
      </c>
    </row>
    <row r="49" customFormat="false" ht="15" hidden="false" customHeight="false" outlineLevel="0" collapsed="false">
      <c r="A49" s="22" t="s">
        <v>285</v>
      </c>
      <c r="B49" s="23" t="n">
        <v>44872</v>
      </c>
      <c r="C49" s="22" t="s">
        <v>286</v>
      </c>
      <c r="D49" s="22" t="s">
        <v>271</v>
      </c>
      <c r="E49" s="22" t="n">
        <v>2022</v>
      </c>
      <c r="F49" s="22" t="s">
        <v>287</v>
      </c>
      <c r="G49" s="22" t="s">
        <v>192</v>
      </c>
      <c r="H49" s="23" t="n">
        <v>44869</v>
      </c>
      <c r="I49" s="23" t="n">
        <v>44982</v>
      </c>
      <c r="J49" s="23" t="n">
        <v>44985</v>
      </c>
      <c r="K49" s="22" t="s">
        <v>288</v>
      </c>
      <c r="L49" s="22" t="s">
        <v>79</v>
      </c>
      <c r="M49" s="22" t="s">
        <v>119</v>
      </c>
      <c r="N49" s="22" t="s">
        <v>289</v>
      </c>
      <c r="O49" s="22" t="s">
        <v>189</v>
      </c>
      <c r="P49" s="22" t="s">
        <v>49</v>
      </c>
      <c r="Q49" s="22" t="n">
        <v>165</v>
      </c>
      <c r="R49" s="24" t="n">
        <v>34485</v>
      </c>
    </row>
    <row r="50" customFormat="false" ht="15" hidden="false" customHeight="false" outlineLevel="0" collapsed="false">
      <c r="A50" s="19" t="s">
        <v>290</v>
      </c>
      <c r="B50" s="20" t="n">
        <v>44896</v>
      </c>
      <c r="C50" s="19" t="s">
        <v>291</v>
      </c>
      <c r="D50" s="19" t="s">
        <v>271</v>
      </c>
      <c r="E50" s="19" t="n">
        <v>2022</v>
      </c>
      <c r="F50" s="19" t="s">
        <v>292</v>
      </c>
      <c r="G50" s="19" t="s">
        <v>293</v>
      </c>
      <c r="H50" s="20" t="n">
        <v>44887</v>
      </c>
      <c r="I50" s="20" t="n">
        <v>44980</v>
      </c>
      <c r="J50" s="20" t="n">
        <v>44983</v>
      </c>
      <c r="K50" s="19" t="s">
        <v>294</v>
      </c>
      <c r="L50" s="19" t="s">
        <v>79</v>
      </c>
      <c r="M50" s="19" t="s">
        <v>295</v>
      </c>
      <c r="N50" s="19" t="s">
        <v>296</v>
      </c>
      <c r="O50" s="19" t="s">
        <v>189</v>
      </c>
      <c r="P50" s="19" t="s">
        <v>49</v>
      </c>
      <c r="Q50" s="19" t="n">
        <v>1455</v>
      </c>
      <c r="R50" s="21" t="n">
        <v>346995</v>
      </c>
    </row>
    <row r="51" customFormat="false" ht="15" hidden="false" customHeight="false" outlineLevel="0" collapsed="false">
      <c r="A51" s="22" t="s">
        <v>297</v>
      </c>
      <c r="B51" s="23" t="n">
        <v>44909</v>
      </c>
      <c r="C51" s="22" t="s">
        <v>291</v>
      </c>
      <c r="D51" s="22" t="s">
        <v>271</v>
      </c>
      <c r="E51" s="22" t="n">
        <v>2022</v>
      </c>
      <c r="F51" s="22" t="s">
        <v>298</v>
      </c>
      <c r="G51" s="22" t="s">
        <v>241</v>
      </c>
      <c r="H51" s="23" t="n">
        <v>44902</v>
      </c>
      <c r="I51" s="23" t="n">
        <v>45033</v>
      </c>
      <c r="J51" s="23" t="n">
        <v>45038</v>
      </c>
      <c r="K51" s="22" t="s">
        <v>299</v>
      </c>
      <c r="L51" s="22" t="s">
        <v>45</v>
      </c>
      <c r="M51" s="22" t="s">
        <v>45</v>
      </c>
      <c r="N51" s="22" t="s">
        <v>89</v>
      </c>
      <c r="O51" s="22"/>
      <c r="P51" s="22" t="s">
        <v>90</v>
      </c>
      <c r="Q51" s="22" t="n">
        <v>106</v>
      </c>
      <c r="R51" s="24" t="n">
        <v>29638.97</v>
      </c>
    </row>
    <row r="52" customFormat="false" ht="15" hidden="false" customHeight="false" outlineLevel="0" collapsed="false">
      <c r="A52" s="19" t="s">
        <v>300</v>
      </c>
      <c r="B52" s="20" t="n">
        <v>44910</v>
      </c>
      <c r="C52" s="19" t="s">
        <v>291</v>
      </c>
      <c r="D52" s="19" t="s">
        <v>271</v>
      </c>
      <c r="E52" s="19" t="n">
        <v>2022</v>
      </c>
      <c r="F52" s="19" t="s">
        <v>301</v>
      </c>
      <c r="G52" s="19" t="s">
        <v>302</v>
      </c>
      <c r="H52" s="20" t="n">
        <v>44910</v>
      </c>
      <c r="I52" s="20" t="n">
        <v>44971</v>
      </c>
      <c r="J52" s="20" t="n">
        <v>44974</v>
      </c>
      <c r="K52" s="19" t="s">
        <v>303</v>
      </c>
      <c r="L52" s="19" t="s">
        <v>71</v>
      </c>
      <c r="M52" s="19" t="s">
        <v>72</v>
      </c>
      <c r="N52" s="19" t="s">
        <v>304</v>
      </c>
      <c r="O52" s="19" t="s">
        <v>305</v>
      </c>
      <c r="P52" s="19" t="s">
        <v>49</v>
      </c>
      <c r="Q52" s="19" t="n">
        <v>200</v>
      </c>
      <c r="R52" s="21" t="n">
        <v>109800</v>
      </c>
    </row>
    <row r="53" customFormat="false" ht="15" hidden="false" customHeight="false" outlineLevel="0" collapsed="false">
      <c r="A53" s="22" t="s">
        <v>306</v>
      </c>
      <c r="B53" s="23" t="n">
        <v>44921</v>
      </c>
      <c r="C53" s="22" t="s">
        <v>291</v>
      </c>
      <c r="D53" s="22" t="s">
        <v>271</v>
      </c>
      <c r="E53" s="22" t="n">
        <v>2022</v>
      </c>
      <c r="F53" s="22" t="s">
        <v>307</v>
      </c>
      <c r="G53" s="22" t="s">
        <v>241</v>
      </c>
      <c r="H53" s="23" t="n">
        <v>44916</v>
      </c>
      <c r="I53" s="23" t="n">
        <v>44990</v>
      </c>
      <c r="J53" s="23" t="n">
        <v>44994</v>
      </c>
      <c r="K53" s="22" t="s">
        <v>308</v>
      </c>
      <c r="L53" s="22" t="s">
        <v>87</v>
      </c>
      <c r="M53" s="22" t="s">
        <v>309</v>
      </c>
      <c r="N53" s="22" t="s">
        <v>310</v>
      </c>
      <c r="O53" s="22"/>
      <c r="P53" s="22" t="s">
        <v>311</v>
      </c>
      <c r="Q53" s="22" t="n">
        <v>54</v>
      </c>
      <c r="R53" s="24" t="n">
        <v>15287.33</v>
      </c>
    </row>
    <row r="54" customFormat="false" ht="15" hidden="false" customHeight="false" outlineLevel="0" collapsed="false">
      <c r="A54" s="19" t="s">
        <v>312</v>
      </c>
      <c r="B54" s="20" t="n">
        <v>44936</v>
      </c>
      <c r="C54" s="19" t="s">
        <v>40</v>
      </c>
      <c r="D54" s="19" t="s">
        <v>313</v>
      </c>
      <c r="E54" s="19" t="n">
        <v>2023</v>
      </c>
      <c r="F54" s="19" t="s">
        <v>314</v>
      </c>
      <c r="G54" s="19" t="s">
        <v>94</v>
      </c>
      <c r="H54" s="20" t="n">
        <v>44935</v>
      </c>
      <c r="I54" s="20" t="n">
        <v>44960</v>
      </c>
      <c r="J54" s="20" t="n">
        <v>44961</v>
      </c>
      <c r="K54" s="19" t="s">
        <v>315</v>
      </c>
      <c r="L54" s="19" t="s">
        <v>79</v>
      </c>
      <c r="M54" s="19" t="s">
        <v>79</v>
      </c>
      <c r="N54" s="19" t="s">
        <v>188</v>
      </c>
      <c r="O54" s="19" t="s">
        <v>189</v>
      </c>
      <c r="P54" s="19" t="s">
        <v>49</v>
      </c>
      <c r="Q54" s="19" t="n">
        <v>75</v>
      </c>
      <c r="R54" s="21" t="n">
        <v>16125</v>
      </c>
    </row>
    <row r="55" customFormat="false" ht="15" hidden="false" customHeight="false" outlineLevel="0" collapsed="false">
      <c r="A55" s="22" t="s">
        <v>316</v>
      </c>
      <c r="B55" s="23" t="n">
        <v>44943</v>
      </c>
      <c r="C55" s="22" t="s">
        <v>40</v>
      </c>
      <c r="D55" s="22" t="s">
        <v>313</v>
      </c>
      <c r="E55" s="22" t="n">
        <v>2023</v>
      </c>
      <c r="F55" s="22" t="s">
        <v>317</v>
      </c>
      <c r="G55" s="22" t="s">
        <v>77</v>
      </c>
      <c r="H55" s="23" t="n">
        <v>44942</v>
      </c>
      <c r="I55" s="23" t="n">
        <v>45117</v>
      </c>
      <c r="J55" s="23" t="n">
        <v>45122</v>
      </c>
      <c r="K55" s="22" t="s">
        <v>318</v>
      </c>
      <c r="L55" s="22" t="s">
        <v>87</v>
      </c>
      <c r="M55" s="22" t="s">
        <v>319</v>
      </c>
      <c r="N55" s="22" t="s">
        <v>89</v>
      </c>
      <c r="O55" s="22"/>
      <c r="P55" s="22" t="s">
        <v>90</v>
      </c>
      <c r="Q55" s="22" t="n">
        <v>165</v>
      </c>
      <c r="R55" s="24" t="n">
        <v>110940.4</v>
      </c>
    </row>
    <row r="56" customFormat="false" ht="15" hidden="false" customHeight="false" outlineLevel="0" collapsed="false">
      <c r="A56" s="19" t="s">
        <v>320</v>
      </c>
      <c r="B56" s="20" t="n">
        <v>44943</v>
      </c>
      <c r="C56" s="19" t="s">
        <v>40</v>
      </c>
      <c r="D56" s="19" t="s">
        <v>313</v>
      </c>
      <c r="E56" s="19" t="n">
        <v>2023</v>
      </c>
      <c r="F56" s="19" t="s">
        <v>321</v>
      </c>
      <c r="G56" s="19" t="s">
        <v>180</v>
      </c>
      <c r="H56" s="20" t="n">
        <v>44939</v>
      </c>
      <c r="I56" s="20" t="n">
        <v>44971</v>
      </c>
      <c r="J56" s="20" t="n">
        <v>44973</v>
      </c>
      <c r="K56" s="19" t="s">
        <v>95</v>
      </c>
      <c r="L56" s="19" t="s">
        <v>79</v>
      </c>
      <c r="M56" s="19" t="s">
        <v>96</v>
      </c>
      <c r="N56" s="19" t="s">
        <v>97</v>
      </c>
      <c r="O56" s="19" t="s">
        <v>98</v>
      </c>
      <c r="P56" s="19" t="s">
        <v>49</v>
      </c>
      <c r="Q56" s="19" t="n">
        <v>26</v>
      </c>
      <c r="R56" s="21" t="n">
        <v>10634</v>
      </c>
    </row>
    <row r="57" customFormat="false" ht="15" hidden="false" customHeight="false" outlineLevel="0" collapsed="false">
      <c r="A57" s="22" t="s">
        <v>322</v>
      </c>
      <c r="B57" s="23" t="n">
        <v>44949</v>
      </c>
      <c r="C57" s="22" t="s">
        <v>40</v>
      </c>
      <c r="D57" s="22" t="s">
        <v>313</v>
      </c>
      <c r="E57" s="22" t="n">
        <v>2023</v>
      </c>
      <c r="F57" s="22" t="s">
        <v>323</v>
      </c>
      <c r="G57" s="22" t="s">
        <v>204</v>
      </c>
      <c r="H57" s="23" t="n">
        <v>44946</v>
      </c>
      <c r="I57" s="23" t="n">
        <v>45088</v>
      </c>
      <c r="J57" s="23" t="n">
        <v>45090</v>
      </c>
      <c r="K57" s="22" t="s">
        <v>205</v>
      </c>
      <c r="L57" s="22" t="s">
        <v>71</v>
      </c>
      <c r="M57" s="22" t="s">
        <v>72</v>
      </c>
      <c r="N57" s="22" t="s">
        <v>206</v>
      </c>
      <c r="O57" s="22" t="s">
        <v>207</v>
      </c>
      <c r="P57" s="22" t="s">
        <v>49</v>
      </c>
      <c r="Q57" s="22" t="n">
        <v>24</v>
      </c>
      <c r="R57" s="24" t="n">
        <v>7136</v>
      </c>
    </row>
    <row r="58" customFormat="false" ht="15" hidden="false" customHeight="false" outlineLevel="0" collapsed="false">
      <c r="A58" s="19" t="s">
        <v>324</v>
      </c>
      <c r="B58" s="20" t="n">
        <v>44949</v>
      </c>
      <c r="C58" s="19" t="s">
        <v>40</v>
      </c>
      <c r="D58" s="19" t="s">
        <v>313</v>
      </c>
      <c r="E58" s="19" t="n">
        <v>2023</v>
      </c>
      <c r="F58" s="19" t="s">
        <v>325</v>
      </c>
      <c r="G58" s="19" t="s">
        <v>326</v>
      </c>
      <c r="H58" s="20" t="n">
        <v>44946</v>
      </c>
      <c r="I58" s="20" t="n">
        <v>45099</v>
      </c>
      <c r="J58" s="20" t="n">
        <v>45103</v>
      </c>
      <c r="K58" s="19" t="s">
        <v>327</v>
      </c>
      <c r="L58" s="19" t="s">
        <v>79</v>
      </c>
      <c r="M58" s="19" t="s">
        <v>80</v>
      </c>
      <c r="N58" s="19" t="s">
        <v>328</v>
      </c>
      <c r="O58" s="19" t="s">
        <v>121</v>
      </c>
      <c r="P58" s="19" t="s">
        <v>49</v>
      </c>
      <c r="Q58" s="19" t="n">
        <v>58</v>
      </c>
      <c r="R58" s="21" t="n">
        <v>16762</v>
      </c>
    </row>
    <row r="59" customFormat="false" ht="15" hidden="false" customHeight="false" outlineLevel="0" collapsed="false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6"/>
    </row>
    <row r="60" customFormat="false" ht="15" hidden="false" customHeight="false" outlineLevel="0" collapsed="false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6"/>
    </row>
    <row r="61" customFormat="false" ht="15" hidden="false" customHeight="false" outlineLevel="0" collapsed="false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6"/>
    </row>
    <row r="62" customFormat="false" ht="15" hidden="false" customHeight="false" outlineLevel="0" collapsed="false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6"/>
    </row>
    <row r="63" customFormat="false" ht="15" hidden="false" customHeight="false" outlineLevel="0" collapsed="false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6"/>
    </row>
    <row r="64" customFormat="false" ht="15" hidden="false" customHeight="false" outlineLevel="0" collapsed="false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6"/>
    </row>
    <row r="65" customFormat="false" ht="15" hidden="false" customHeight="false" outlineLevel="0" collapsed="false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6"/>
    </row>
    <row r="66" customFormat="false" ht="15" hidden="false" customHeight="false" outlineLevel="0" collapsed="false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6"/>
    </row>
    <row r="67" customFormat="false" ht="15" hidden="false" customHeight="false" outlineLevel="0" collapsed="false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6"/>
    </row>
    <row r="68" customFormat="false" ht="15" hidden="false" customHeight="false" outlineLevel="0" collapsed="false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6"/>
    </row>
  </sheetData>
  <autoFilter ref="A1:R1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FA3"/>
    <pageSetUpPr fitToPage="false"/>
  </sheetPr>
  <dimension ref="A1:H26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32"/>
    <col collapsed="false" customWidth="true" hidden="false" outlineLevel="0" max="2" min="2" style="0" width="2"/>
    <col collapsed="false" customWidth="true" hidden="false" outlineLevel="0" max="6" min="3" style="0" width="18"/>
    <col collapsed="false" customWidth="true" hidden="false" outlineLevel="0" max="7" min="7" style="0" width="16"/>
  </cols>
  <sheetData>
    <row r="1" customFormat="false" ht="30" hidden="false" customHeight="true" outlineLevel="0" collapsed="false">
      <c r="A1" s="27" t="s">
        <v>329</v>
      </c>
      <c r="B1" s="27"/>
      <c r="C1" s="27"/>
      <c r="D1" s="27"/>
      <c r="E1" s="27"/>
      <c r="F1" s="27"/>
      <c r="G1" s="27"/>
      <c r="H1" s="27"/>
    </row>
    <row r="2" customFormat="false" ht="18" hidden="false" customHeight="true" outlineLevel="0" collapsed="false">
      <c r="A2" s="28" t="s">
        <v>330</v>
      </c>
      <c r="B2" s="28"/>
      <c r="C2" s="28"/>
      <c r="D2" s="28"/>
      <c r="E2" s="28"/>
      <c r="F2" s="28"/>
      <c r="G2" s="28"/>
      <c r="H2" s="28"/>
    </row>
    <row r="4" customFormat="false" ht="21.75" hidden="false" customHeight="true" outlineLevel="0" collapsed="false">
      <c r="A4" s="29" t="s">
        <v>331</v>
      </c>
      <c r="C4" s="30" t="n">
        <v>2022</v>
      </c>
      <c r="D4" s="30" t="n">
        <v>2023</v>
      </c>
      <c r="E4" s="30" t="n">
        <v>2024</v>
      </c>
      <c r="F4" s="30" t="n">
        <v>2025</v>
      </c>
      <c r="G4" s="31" t="s">
        <v>332</v>
      </c>
    </row>
    <row r="5" customFormat="false" ht="19.5" hidden="false" customHeight="true" outlineLevel="0" collapsed="false">
      <c r="A5" s="32" t="s">
        <v>333</v>
      </c>
      <c r="B5" s="32"/>
      <c r="C5" s="32"/>
      <c r="D5" s="32"/>
      <c r="E5" s="32"/>
      <c r="F5" s="32"/>
      <c r="G5" s="32"/>
    </row>
    <row r="6" customFormat="false" ht="19.5" hidden="false" customHeight="true" outlineLevel="0" collapsed="false">
      <c r="A6" s="33" t="s">
        <v>334</v>
      </c>
      <c r="C6" s="34" t="n">
        <f aca="false">SUMPRODUCT(('📥 Raw Data'!$E$2:$E$5000=$C$4)*('📥 Raw Data'!$R$2:$R$5000))</f>
        <v>1875360.3</v>
      </c>
      <c r="D6" s="34" t="n">
        <f aca="false">SUMPRODUCT(('📥 Raw Data'!$E$2:$E$5000=$D$4)*('📥 Raw Data'!$R$2:$R$5000))</f>
        <v>161597.4</v>
      </c>
      <c r="E6" s="34" t="n">
        <f aca="false">SUMPRODUCT(('📥 Raw Data'!$E$2:$E$5000=$E$4)*('📥 Raw Data'!$R$2:$R$5000))</f>
        <v>0</v>
      </c>
      <c r="F6" s="34" t="n">
        <f aca="false">SUMPRODUCT(('📥 Raw Data'!$E$2:$E$5000=$F$4)*('📥 Raw Data'!$R$2:$R$5000))</f>
        <v>0</v>
      </c>
      <c r="G6" s="35" t="str">
        <f aca="false">IFERROR((F6-E6)/E6,"-")</f>
        <v>-</v>
      </c>
    </row>
    <row r="7" customFormat="false" ht="19.5" hidden="false" customHeight="true" outlineLevel="0" collapsed="false">
      <c r="A7" s="36" t="s">
        <v>335</v>
      </c>
      <c r="C7" s="37" t="n">
        <f aca="false">COUNTIF('📥 Raw Data'!$E$2:$E$5000,$C$4)</f>
        <v>52</v>
      </c>
      <c r="D7" s="37" t="n">
        <f aca="false">COUNTIF('📥 Raw Data'!$E$2:$E$5000,$D$4)</f>
        <v>5</v>
      </c>
      <c r="E7" s="37" t="n">
        <f aca="false">COUNTIF('📥 Raw Data'!$E$2:$E$5000,$E$4)</f>
        <v>0</v>
      </c>
      <c r="F7" s="37" t="n">
        <f aca="false">COUNTIF('📥 Raw Data'!$E$2:$E$5000,$F$4)</f>
        <v>0</v>
      </c>
      <c r="G7" s="38" t="str">
        <f aca="false">IFERROR((F7-E7)/E7,"-")</f>
        <v>-</v>
      </c>
    </row>
    <row r="8" customFormat="false" ht="19.5" hidden="false" customHeight="true" outlineLevel="0" collapsed="false">
      <c r="A8" s="33" t="s">
        <v>336</v>
      </c>
      <c r="C8" s="39" t="n">
        <f aca="false">SUMPRODUCT(('📥 Raw Data'!$E$2:$E$5000=$C$4)*('📥 Raw Data'!$Q$2:$Q$5000))</f>
        <v>6333</v>
      </c>
      <c r="D8" s="39" t="n">
        <f aca="false">SUMPRODUCT(('📥 Raw Data'!$E$2:$E$5000=$D$4)*('📥 Raw Data'!$Q$2:$Q$5000))</f>
        <v>348</v>
      </c>
      <c r="E8" s="39" t="n">
        <f aca="false">SUMPRODUCT(('📥 Raw Data'!$E$2:$E$5000=$E$4)*('📥 Raw Data'!$Q$2:$Q$5000))</f>
        <v>0</v>
      </c>
      <c r="F8" s="39" t="n">
        <f aca="false">SUMPRODUCT(('📥 Raw Data'!$E$2:$E$5000=$F$4)*('📥 Raw Data'!$Q$2:$Q$5000))</f>
        <v>0</v>
      </c>
      <c r="G8" s="35" t="str">
        <f aca="false">IFERROR((F8-E8)/E8,"-")</f>
        <v>-</v>
      </c>
    </row>
    <row r="9" customFormat="false" ht="19.5" hidden="false" customHeight="true" outlineLevel="0" collapsed="false">
      <c r="A9" s="36" t="s">
        <v>337</v>
      </c>
      <c r="C9" s="40" t="n">
        <f aca="false">IFERROR(C7/C8,"-")</f>
        <v>0.0082109584714985</v>
      </c>
      <c r="D9" s="40" t="n">
        <f aca="false">IFERROR(D7/D8,"-")</f>
        <v>0.014367816091954</v>
      </c>
      <c r="E9" s="40" t="str">
        <f aca="false">IFERROR(E7/E8,"-")</f>
        <v>-</v>
      </c>
      <c r="F9" s="40" t="str">
        <f aca="false">IFERROR(F7/F8,"-")</f>
        <v>-</v>
      </c>
      <c r="G9" s="38" t="str">
        <f aca="false">IFERROR((F9-E9)/E9,"-")</f>
        <v>-</v>
      </c>
    </row>
    <row r="11" customFormat="false" ht="19.5" hidden="false" customHeight="true" outlineLevel="0" collapsed="false">
      <c r="A11" s="32" t="s">
        <v>338</v>
      </c>
      <c r="B11" s="32"/>
      <c r="C11" s="32"/>
      <c r="D11" s="32"/>
      <c r="E11" s="32"/>
      <c r="F11" s="32"/>
      <c r="G11" s="32"/>
    </row>
    <row r="12" customFormat="false" ht="19.5" hidden="false" customHeight="true" outlineLevel="0" collapsed="false">
      <c r="A12" s="33" t="s">
        <v>339</v>
      </c>
      <c r="C12" s="34" t="n">
        <f aca="false">SUMPRODUCT(('📥 Raw Data'!$E$2:$E$5000=$C$4)*(LEFT('📥 Raw Data'!$D$2:$D$5000,2)="Q1")*('📥 Raw Data'!$R$2:$R$5000))</f>
        <v>206033.15</v>
      </c>
      <c r="D12" s="34" t="n">
        <f aca="false">SUMPRODUCT(('📥 Raw Data'!$E$2:$E$5000=$D$4)*(LEFT('📥 Raw Data'!$D$2:$D$5000,2)="Q1")*('📥 Raw Data'!$R$2:$R$5000))</f>
        <v>161597.4</v>
      </c>
      <c r="E12" s="34" t="n">
        <f aca="false">SUMPRODUCT(('📥 Raw Data'!$E$2:$E$5000=$E$4)*(LEFT('📥 Raw Data'!$D$2:$D$5000,2)="Q1")*('📥 Raw Data'!$R$2:$R$5000))</f>
        <v>0</v>
      </c>
      <c r="F12" s="34" t="n">
        <f aca="false">SUMPRODUCT(('📥 Raw Data'!$E$2:$E$5000=$F$4)*(LEFT('📥 Raw Data'!$D$2:$D$5000,2)="Q1")*('📥 Raw Data'!$R$2:$R$5000))</f>
        <v>0</v>
      </c>
      <c r="G12" s="35" t="str">
        <f aca="false">IFERROR((F12-E12)/E12,"-")</f>
        <v>-</v>
      </c>
    </row>
    <row r="13" customFormat="false" ht="19.5" hidden="false" customHeight="true" outlineLevel="0" collapsed="false">
      <c r="A13" s="36" t="s">
        <v>340</v>
      </c>
      <c r="C13" s="40" t="n">
        <f aca="false">SUMPRODUCT(('📥 Raw Data'!$E$2:$E$5000=$C$4)*(LEFT('📥 Raw Data'!$D$2:$D$5000,2)="Q2")*('📥 Raw Data'!$R$2:$R$5000))</f>
        <v>431622.75</v>
      </c>
      <c r="D13" s="40" t="n">
        <f aca="false">SUMPRODUCT(('📥 Raw Data'!$E$2:$E$5000=$D$4)*(LEFT('📥 Raw Data'!$D$2:$D$5000,2)="Q2")*('📥 Raw Data'!$R$2:$R$5000))</f>
        <v>0</v>
      </c>
      <c r="E13" s="40" t="n">
        <f aca="false">SUMPRODUCT(('📥 Raw Data'!$E$2:$E$5000=$E$4)*(LEFT('📥 Raw Data'!$D$2:$D$5000,2)="Q2")*('📥 Raw Data'!$R$2:$R$5000))</f>
        <v>0</v>
      </c>
      <c r="F13" s="40" t="n">
        <f aca="false">SUMPRODUCT(('📥 Raw Data'!$E$2:$E$5000=$F$4)*(LEFT('📥 Raw Data'!$D$2:$D$5000,2)="Q2")*('📥 Raw Data'!$R$2:$R$5000))</f>
        <v>0</v>
      </c>
      <c r="G13" s="38" t="str">
        <f aca="false">IFERROR((F13-E13)/E13,"-")</f>
        <v>-</v>
      </c>
    </row>
    <row r="14" customFormat="false" ht="19.5" hidden="false" customHeight="true" outlineLevel="0" collapsed="false">
      <c r="A14" s="33" t="s">
        <v>341</v>
      </c>
      <c r="C14" s="34" t="n">
        <f aca="false">SUMPRODUCT(('📥 Raw Data'!$E$2:$E$5000=$C$4)*(LEFT('📥 Raw Data'!$D$2:$D$5000,2)="Q3")*('📥 Raw Data'!$R$2:$R$5000))</f>
        <v>608085.1</v>
      </c>
      <c r="D14" s="34" t="n">
        <f aca="false">SUMPRODUCT(('📥 Raw Data'!$E$2:$E$5000=$D$4)*(LEFT('📥 Raw Data'!$D$2:$D$5000,2)="Q3")*('📥 Raw Data'!$R$2:$R$5000))</f>
        <v>0</v>
      </c>
      <c r="E14" s="34" t="n">
        <f aca="false">SUMPRODUCT(('📥 Raw Data'!$E$2:$E$5000=$E$4)*(LEFT('📥 Raw Data'!$D$2:$D$5000,2)="Q3")*('📥 Raw Data'!$R$2:$R$5000))</f>
        <v>0</v>
      </c>
      <c r="F14" s="34" t="n">
        <f aca="false">SUMPRODUCT(('📥 Raw Data'!$E$2:$E$5000=$F$4)*(LEFT('📥 Raw Data'!$D$2:$D$5000,2)="Q3")*('📥 Raw Data'!$R$2:$R$5000))</f>
        <v>0</v>
      </c>
      <c r="G14" s="35" t="str">
        <f aca="false">IFERROR((F14-E14)/E14,"-")</f>
        <v>-</v>
      </c>
    </row>
    <row r="15" customFormat="false" ht="19.5" hidden="false" customHeight="true" outlineLevel="0" collapsed="false">
      <c r="A15" s="36" t="s">
        <v>342</v>
      </c>
      <c r="C15" s="40" t="n">
        <f aca="false">SUMPRODUCT(('📥 Raw Data'!$E$2:$E$5000=$C$4)*(LEFT('📥 Raw Data'!$D$2:$D$5000,2)="Q4")*('📥 Raw Data'!$R$2:$R$5000))</f>
        <v>629619.3</v>
      </c>
      <c r="D15" s="40" t="n">
        <f aca="false">SUMPRODUCT(('📥 Raw Data'!$E$2:$E$5000=$D$4)*(LEFT('📥 Raw Data'!$D$2:$D$5000,2)="Q4")*('📥 Raw Data'!$R$2:$R$5000))</f>
        <v>0</v>
      </c>
      <c r="E15" s="40" t="n">
        <f aca="false">SUMPRODUCT(('📥 Raw Data'!$E$2:$E$5000=$E$4)*(LEFT('📥 Raw Data'!$D$2:$D$5000,2)="Q4")*('📥 Raw Data'!$R$2:$R$5000))</f>
        <v>0</v>
      </c>
      <c r="F15" s="40" t="n">
        <f aca="false">SUMPRODUCT(('📥 Raw Data'!$E$2:$E$5000=$F$4)*(LEFT('📥 Raw Data'!$D$2:$D$5000,2)="Q4")*('📥 Raw Data'!$R$2:$R$5000))</f>
        <v>0</v>
      </c>
      <c r="G15" s="38" t="str">
        <f aca="false">IFERROR((F15-E15)/E15,"-")</f>
        <v>-</v>
      </c>
    </row>
    <row r="17" customFormat="false" ht="19.5" hidden="false" customHeight="true" outlineLevel="0" collapsed="false">
      <c r="A17" s="32" t="s">
        <v>343</v>
      </c>
      <c r="B17" s="32"/>
      <c r="C17" s="32"/>
      <c r="D17" s="32"/>
      <c r="E17" s="32"/>
      <c r="F17" s="32"/>
      <c r="G17" s="32"/>
    </row>
    <row r="18" customFormat="false" ht="19.5" hidden="false" customHeight="true" outlineLevel="0" collapsed="false">
      <c r="A18" s="33" t="s">
        <v>344</v>
      </c>
      <c r="C18" s="39" t="n">
        <f aca="false">IFERROR(SUMPRODUCT(('📥 Raw Data'!$E$2:$E$5000=$C$4)/COUNTIFS('📥 Raw Data'!$G$2:$G$5000,'📥 Raw Data'!$G$2:$G$5000,'📥 Raw Data'!$E$2:$E$5000,$C$4)),0)</f>
        <v>0</v>
      </c>
      <c r="D18" s="39" t="n">
        <f aca="false">IFERROR(SUMPRODUCT(('📥 Raw Data'!$E$2:$E$5000=$D$4)/COUNTIFS('📥 Raw Data'!$G$2:$G$5000,'📥 Raw Data'!$G$2:$G$5000,'📥 Raw Data'!$E$2:$E$5000,$D$4)),0)</f>
        <v>0</v>
      </c>
      <c r="E18" s="39" t="n">
        <f aca="false">IFERROR(SUMPRODUCT(('📥 Raw Data'!$E$2:$E$5000=$E$4)/COUNTIFS('📥 Raw Data'!$G$2:$G$5000,'📥 Raw Data'!$G$2:$G$5000,'📥 Raw Data'!$E$2:$E$5000,$E$4)),0)</f>
        <v>0</v>
      </c>
      <c r="F18" s="39" t="n">
        <f aca="false">IFERROR(SUMPRODUCT(('📥 Raw Data'!$E$2:$E$5000=$F$4)/COUNTIFS('📥 Raw Data'!$G$2:$G$5000,'📥 Raw Data'!$G$2:$G$5000,'📥 Raw Data'!$E$2:$E$5000,$F$4)),0)</f>
        <v>0</v>
      </c>
      <c r="G18" s="35" t="str">
        <f aca="false">IFERROR((F18-E18)/E18,"-")</f>
        <v>-</v>
      </c>
    </row>
    <row r="19" customFormat="false" ht="19.5" hidden="false" customHeight="true" outlineLevel="0" collapsed="false">
      <c r="A19" s="36" t="s">
        <v>345</v>
      </c>
      <c r="C19" s="40" t="n">
        <f aca="false">IFERROR(SUMPRODUCT(MAX(('📥 Raw Data'!$E$2:$E$5000=$C$4)*('📥 Raw Data'!$R$2:$R$5000))),0)</f>
        <v>346995</v>
      </c>
      <c r="D19" s="40" t="n">
        <f aca="false">IFERROR(SUMPRODUCT(MAX(('📥 Raw Data'!$E$2:$E$5000=$D$4)*('📥 Raw Data'!$R$2:$R$5000))),0)</f>
        <v>110940.4</v>
      </c>
      <c r="E19" s="40" t="n">
        <f aca="false">IFERROR(SUMPRODUCT(MAX(('📥 Raw Data'!$E$2:$E$5000=$E$4)*('📥 Raw Data'!$R$2:$R$5000))),0)</f>
        <v>0</v>
      </c>
      <c r="F19" s="40" t="n">
        <f aca="false">IFERROR(SUMPRODUCT(MAX(('📥 Raw Data'!$E$2:$E$5000=$F$4)*('📥 Raw Data'!$R$2:$R$5000))),0)</f>
        <v>0</v>
      </c>
      <c r="G19" s="38" t="str">
        <f aca="false">IFERROR((F19-E19)/E19,"-")</f>
        <v>-</v>
      </c>
    </row>
    <row r="20" customFormat="false" ht="19.5" hidden="false" customHeight="true" outlineLevel="0" collapsed="false">
      <c r="A20" s="33" t="s">
        <v>346</v>
      </c>
      <c r="C20" s="41" t="str">
        <f aca="false">IFERROR(INDEX('📥 Raw Data'!$G$2:$G$5000,MATCH(SUMPRODUCT(MAX(('📥 Raw Data'!$E$2:$E$5000=$C$4)*('📥 Raw Data'!$R$2:$R$5000))),IF('📥 Raw Data'!$E$2:$E$5000=$C$4,'📥 Raw Data'!$R$2:$R$5000,0),0)),"-")</f>
        <v>Open Society Foundations</v>
      </c>
      <c r="D20" s="41" t="str">
        <f aca="false">IFERROR(INDEX('📥 Raw Data'!$G$2:$G$5000,MATCH(SUMPRODUCT(MAX(('📥 Raw Data'!$E$2:$E$5000=$D$4)*('📥 Raw Data'!$R$2:$R$5000))),IF('📥 Raw Data'!$E$2:$E$5000=$D$4,'📥 Raw Data'!$R$2:$R$5000,0),0)),"-")</f>
        <v>TIAA</v>
      </c>
      <c r="E20" s="41" t="str">
        <f aca="false">IFERROR(INDEX('📥 Raw Data'!$G$2:$G$5000,MATCH(SUMPRODUCT(MAX(('📥 Raw Data'!$E$2:$E$5000=$E$4)*('📥 Raw Data'!$R$2:$R$5000))),IF('📥 Raw Data'!$E$2:$E$5000=$E$4,'📥 Raw Data'!$R$2:$R$5000,0),0)),"-")</f>
        <v>eRepublic</v>
      </c>
      <c r="F20" s="41" t="str">
        <f aca="false">IFERROR(INDEX('📥 Raw Data'!$G$2:$G$5000,MATCH(SUMPRODUCT(MAX(('📥 Raw Data'!$E$2:$E$5000=$F$4)*('📥 Raw Data'!$R$2:$R$5000))),IF('📥 Raw Data'!$E$2:$E$5000=$F$4,'📥 Raw Data'!$R$2:$R$5000,0),0)),"-")</f>
        <v>eRepublic</v>
      </c>
      <c r="G20" s="42"/>
    </row>
    <row r="22" customFormat="false" ht="19.5" hidden="false" customHeight="true" outlineLevel="0" collapsed="false">
      <c r="A22" s="32" t="s">
        <v>347</v>
      </c>
      <c r="B22" s="32"/>
      <c r="C22" s="32"/>
      <c r="D22" s="32"/>
      <c r="E22" s="32"/>
      <c r="F22" s="32"/>
      <c r="G22" s="32"/>
    </row>
    <row r="23" customFormat="false" ht="19.5" hidden="false" customHeight="true" outlineLevel="0" collapsed="false">
      <c r="A23" s="36" t="s">
        <v>348</v>
      </c>
      <c r="C23" s="37" t="n">
        <f aca="false">IFERROR(SUMPRODUCT(('📥 Raw Data'!$E$2:$E$5000=$C$4)/COUNTIFS('📥 Raw Data'!$K$2:$K$5000,'📥 Raw Data'!$K$2:$K$5000,'📥 Raw Data'!$E$2:$E$5000,$C$4)),0)</f>
        <v>0</v>
      </c>
      <c r="D23" s="37" t="n">
        <f aca="false">IFERROR(SUMPRODUCT(('📥 Raw Data'!$E$2:$E$5000=$D$4)/COUNTIFS('📥 Raw Data'!$K$2:$K$5000,'📥 Raw Data'!$K$2:$K$5000,'📥 Raw Data'!$E$2:$E$5000,$D$4)),0)</f>
        <v>0</v>
      </c>
      <c r="E23" s="37" t="n">
        <f aca="false">IFERROR(SUMPRODUCT(('📥 Raw Data'!$E$2:$E$5000=$E$4)/COUNTIFS('📥 Raw Data'!$K$2:$K$5000,'📥 Raw Data'!$K$2:$K$5000,'📥 Raw Data'!$E$2:$E$5000,$E$4)),0)</f>
        <v>0</v>
      </c>
      <c r="F23" s="37" t="n">
        <f aca="false">IFERROR(SUMPRODUCT(('📥 Raw Data'!$E$2:$E$5000=$F$4)/COUNTIFS('📥 Raw Data'!$K$2:$K$5000,'📥 Raw Data'!$K$2:$K$5000,'📥 Raw Data'!$E$2:$E$5000,$F$4)),0)</f>
        <v>0</v>
      </c>
      <c r="G23" s="38" t="str">
        <f aca="false">IFERROR((F23-E23)/E23,"-")</f>
        <v>-</v>
      </c>
    </row>
    <row r="24" customFormat="false" ht="19.5" hidden="false" customHeight="true" outlineLevel="0" collapsed="false">
      <c r="A24" s="33" t="s">
        <v>349</v>
      </c>
      <c r="C24" s="39" t="n">
        <f aca="false">IFERROR(SUMPRODUCT(('📥 Raw Data'!$E$2:$E$5000=$C$4)/COUNTIFS('📥 Raw Data'!$N$2:$N$5000,'📥 Raw Data'!$N$2:$N$5000,'📥 Raw Data'!$E$2:$E$5000,$C$4)),0)</f>
        <v>0</v>
      </c>
      <c r="D24" s="39" t="n">
        <f aca="false">IFERROR(SUMPRODUCT(('📥 Raw Data'!$E$2:$E$5000=$D$4)/COUNTIFS('📥 Raw Data'!$N$2:$N$5000,'📥 Raw Data'!$N$2:$N$5000,'📥 Raw Data'!$E$2:$E$5000,$D$4)),0)</f>
        <v>0</v>
      </c>
      <c r="E24" s="39" t="n">
        <f aca="false">IFERROR(SUMPRODUCT(('📥 Raw Data'!$E$2:$E$5000=$E$4)/COUNTIFS('📥 Raw Data'!$N$2:$N$5000,'📥 Raw Data'!$N$2:$N$5000,'📥 Raw Data'!$E$2:$E$5000,$E$4)),0)</f>
        <v>0</v>
      </c>
      <c r="F24" s="39" t="n">
        <f aca="false">IFERROR(SUMPRODUCT(('📥 Raw Data'!$E$2:$E$5000=$F$4)/COUNTIFS('📥 Raw Data'!$N$2:$N$5000,'📥 Raw Data'!$N$2:$N$5000,'📥 Raw Data'!$E$2:$E$5000,$F$4)),0)</f>
        <v>0</v>
      </c>
      <c r="G24" s="35" t="str">
        <f aca="false">IFERROR((F24-E24)/E24,"-")</f>
        <v>-</v>
      </c>
    </row>
    <row r="25" customFormat="false" ht="19.5" hidden="false" customHeight="true" outlineLevel="0" collapsed="false">
      <c r="A25" s="36" t="s">
        <v>350</v>
      </c>
      <c r="C25" s="37" t="n">
        <f aca="false">SUMPRODUCT(('📥 Raw Data'!$E$2:$E$5000=$C$4)*('📥 Raw Data'!$P$2:$P$5000&lt;&gt;"United States (USA)")*(LEN('📥 Raw Data'!$P$2:$P$5000)&gt;0))</f>
        <v>5</v>
      </c>
      <c r="D25" s="37" t="n">
        <f aca="false">SUMPRODUCT(('📥 Raw Data'!$E$2:$E$5000=$D$4)*('📥 Raw Data'!$P$2:$P$5000&lt;&gt;"United States (USA)")*(LEN('📥 Raw Data'!$P$2:$P$5000)&gt;0))</f>
        <v>1</v>
      </c>
      <c r="E25" s="37" t="n">
        <f aca="false">SUMPRODUCT(('📥 Raw Data'!$E$2:$E$5000=$E$4)*('📥 Raw Data'!$P$2:$P$5000&lt;&gt;"United States (USA)")*(LEN('📥 Raw Data'!$P$2:$P$5000)&gt;0))</f>
        <v>0</v>
      </c>
      <c r="F25" s="37" t="n">
        <f aca="false">SUMPRODUCT(('📥 Raw Data'!$E$2:$E$5000=$F$4)*('📥 Raw Data'!$P$2:$P$5000&lt;&gt;"United States (USA)")*(LEN('📥 Raw Data'!$P$2:$P$5000)&gt;0))</f>
        <v>0</v>
      </c>
      <c r="G25" s="38" t="str">
        <f aca="false">IFERROR((F25-E25)/E25,"-")</f>
        <v>-</v>
      </c>
    </row>
    <row r="26" customFormat="false" ht="19.5" hidden="false" customHeight="true" outlineLevel="0" collapsed="false">
      <c r="A26" s="33" t="s">
        <v>351</v>
      </c>
      <c r="C26" s="41" t="str">
        <f aca="false">IFERROR(INDEX('📥 Raw Data'!$L$2:$L$5000,MATCH(SUMPRODUCT(MAX(('📥 Raw Data'!$E$2:$E$5000=$C$4)*('📥 Raw Data'!$R$2:$R$5000))),IF('📥 Raw Data'!$E$2:$E$5000=$C$4,'📥 Raw Data'!$R$2:$R$5000,0),0)),"-")</f>
        <v>Marriott</v>
      </c>
      <c r="D26" s="41" t="str">
        <f aca="false">IFERROR(INDEX('📥 Raw Data'!$L$2:$L$5000,MATCH(SUMPRODUCT(MAX(('📥 Raw Data'!$E$2:$E$5000=$D$4)*('📥 Raw Data'!$R$2:$R$5000))),IF('📥 Raw Data'!$E$2:$E$5000=$D$4,'📥 Raw Data'!$R$2:$R$5000,0),0)),"-")</f>
        <v>Individual Brand</v>
      </c>
      <c r="E26" s="41" t="str">
        <f aca="false">IFERROR(INDEX('📥 Raw Data'!$L$2:$L$5000,MATCH(SUMPRODUCT(MAX(('📥 Raw Data'!$E$2:$E$5000=$E$4)*('📥 Raw Data'!$R$2:$R$5000))),IF('📥 Raw Data'!$E$2:$E$5000=$E$4,'📥 Raw Data'!$R$2:$R$5000,0),0)),"-")</f>
        <v>Hilton</v>
      </c>
      <c r="F26" s="41" t="str">
        <f aca="false">IFERROR(INDEX('📥 Raw Data'!$L$2:$L$5000,MATCH(SUMPRODUCT(MAX(('📥 Raw Data'!$E$2:$E$5000=$F$4)*('📥 Raw Data'!$R$2:$R$5000))),IF('📥 Raw Data'!$E$2:$E$5000=$F$4,'📥 Raw Data'!$R$2:$R$5000,0),0)),"-")</f>
        <v>Hilton</v>
      </c>
      <c r="G26" s="42"/>
    </row>
  </sheetData>
  <mergeCells count="6">
    <mergeCell ref="A1:H1"/>
    <mergeCell ref="A2:H2"/>
    <mergeCell ref="A5:G5"/>
    <mergeCell ref="A11:G11"/>
    <mergeCell ref="A17:G17"/>
    <mergeCell ref="A22:G22"/>
  </mergeCells>
  <conditionalFormatting sqref="G6">
    <cfRule type="colorScale" priority="2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7">
    <cfRule type="colorScale" priority="3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8">
    <cfRule type="colorScale" priority="4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12">
    <cfRule type="colorScale" priority="5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13">
    <cfRule type="colorScale" priority="6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14">
    <cfRule type="colorScale" priority="7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15">
    <cfRule type="colorScale" priority="8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18">
    <cfRule type="colorScale" priority="9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19">
    <cfRule type="colorScale" priority="10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23">
    <cfRule type="colorScale" priority="11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24">
    <cfRule type="colorScale" priority="12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conditionalFormatting sqref="G25">
    <cfRule type="colorScale" priority="13">
      <colorScale>
        <cfvo type="num" val="-0.5"/>
        <cfvo type="num" val="0"/>
        <cfvo type="num" val="0.5"/>
        <color rgb="FFFFADAD"/>
        <color rgb="FFFFFFFF"/>
        <color rgb="FFB7E4C7"/>
      </colorScale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E8449"/>
    <pageSetUpPr fitToPage="false"/>
  </sheetPr>
  <dimension ref="A1:K16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4"/>
    <col collapsed="false" customWidth="true" hidden="false" outlineLevel="0" max="9" min="2" style="0" width="16"/>
  </cols>
  <sheetData>
    <row r="1" customFormat="false" ht="27.75" hidden="false" customHeight="true" outlineLevel="0" collapsed="false">
      <c r="A1" s="27" t="s">
        <v>352</v>
      </c>
      <c r="B1" s="27"/>
      <c r="C1" s="27"/>
      <c r="D1" s="27"/>
      <c r="E1" s="27"/>
      <c r="F1" s="27"/>
      <c r="G1" s="27"/>
      <c r="H1" s="27"/>
      <c r="I1" s="27"/>
      <c r="J1" s="27"/>
      <c r="K1" s="27"/>
    </row>
    <row r="2" customFormat="false" ht="19.5" hidden="false" customHeight="true" outlineLevel="0" collapsed="false">
      <c r="B2" s="43" t="n">
        <v>2022</v>
      </c>
      <c r="C2" s="43"/>
      <c r="D2" s="43" t="n">
        <v>2023</v>
      </c>
      <c r="E2" s="43"/>
      <c r="F2" s="43" t="n">
        <v>2024</v>
      </c>
      <c r="G2" s="43"/>
      <c r="H2" s="43" t="n">
        <v>2025</v>
      </c>
      <c r="I2" s="43"/>
    </row>
    <row r="3" customFormat="false" ht="18" hidden="false" customHeight="true" outlineLevel="0" collapsed="false">
      <c r="A3" s="44" t="s">
        <v>353</v>
      </c>
      <c r="B3" s="45" t="s">
        <v>354</v>
      </c>
      <c r="C3" s="45" t="s">
        <v>355</v>
      </c>
      <c r="D3" s="45" t="s">
        <v>354</v>
      </c>
      <c r="E3" s="45" t="s">
        <v>355</v>
      </c>
      <c r="F3" s="45" t="s">
        <v>354</v>
      </c>
      <c r="G3" s="45" t="s">
        <v>355</v>
      </c>
      <c r="H3" s="45" t="s">
        <v>354</v>
      </c>
      <c r="I3" s="45" t="s">
        <v>355</v>
      </c>
    </row>
    <row r="4" customFormat="false" ht="18" hidden="false" customHeight="true" outlineLevel="0" collapsed="false">
      <c r="A4" s="33" t="s">
        <v>356</v>
      </c>
      <c r="B4" s="46" t="n">
        <f aca="false">SUMPRODUCT(('📥 Raw Data'!$E$2:$E$5000=$B$2)*(LEFT('📥 Raw Data'!$C$2:$C$5000,2)="01")*('📥 Raw Data'!$R$2:$R$5000))</f>
        <v>80670</v>
      </c>
      <c r="C4" s="39" t="n">
        <f aca="false">SUMPRODUCT(('📥 Raw Data'!$E$2:$E$5000=$B$2)*(LEFT('📥 Raw Data'!$C$2:$C$5000,2)="01")*1)</f>
        <v>2</v>
      </c>
      <c r="D4" s="46" t="n">
        <f aca="false">SUMPRODUCT(('📥 Raw Data'!$E$2:$E$5000=$D$2)*(LEFT('📥 Raw Data'!$C$2:$C$5000,2)="01")*('📥 Raw Data'!$R$2:$R$5000))</f>
        <v>161597.4</v>
      </c>
      <c r="E4" s="39" t="n">
        <f aca="false">SUMPRODUCT(('📥 Raw Data'!$E$2:$E$5000=$D$2)*(LEFT('📥 Raw Data'!$C$2:$C$5000,2)="01")*1)</f>
        <v>5</v>
      </c>
      <c r="F4" s="46" t="n">
        <f aca="false">SUMPRODUCT(('📥 Raw Data'!$E$2:$E$5000=$F$2)*(LEFT('📥 Raw Data'!$C$2:$C$5000,2)="01")*('📥 Raw Data'!$R$2:$R$5000))</f>
        <v>0</v>
      </c>
      <c r="G4" s="39" t="n">
        <f aca="false">SUMPRODUCT(('📥 Raw Data'!$E$2:$E$5000=$F$2)*(LEFT('📥 Raw Data'!$C$2:$C$5000,2)="01")*1)</f>
        <v>0</v>
      </c>
      <c r="H4" s="46" t="n">
        <f aca="false">SUMPRODUCT(('📥 Raw Data'!$E$2:$E$5000=$H$2)*(LEFT('📥 Raw Data'!$C$2:$C$5000,2)="01")*('📥 Raw Data'!$R$2:$R$5000))</f>
        <v>0</v>
      </c>
      <c r="I4" s="39" t="n">
        <f aca="false">SUMPRODUCT(('📥 Raw Data'!$E$2:$E$5000=$H$2)*(LEFT('📥 Raw Data'!$C$2:$C$5000,2)="01")*1)</f>
        <v>0</v>
      </c>
    </row>
    <row r="5" customFormat="false" ht="18" hidden="false" customHeight="true" outlineLevel="0" collapsed="false">
      <c r="A5" s="36" t="s">
        <v>357</v>
      </c>
      <c r="B5" s="47" t="n">
        <f aca="false">SUMPRODUCT(('📥 Raw Data'!$E$2:$E$5000=$B$2)*(LEFT('📥 Raw Data'!$C$2:$C$5000,2)="02")*('📥 Raw Data'!$R$2:$R$5000))</f>
        <v>86623.15</v>
      </c>
      <c r="C5" s="37" t="n">
        <f aca="false">SUMPRODUCT(('📥 Raw Data'!$E$2:$E$5000=$B$2)*(LEFT('📥 Raw Data'!$C$2:$C$5000,2)="02")*1)</f>
        <v>4</v>
      </c>
      <c r="D5" s="47" t="n">
        <f aca="false">SUMPRODUCT(('📥 Raw Data'!$E$2:$E$5000=$D$2)*(LEFT('📥 Raw Data'!$C$2:$C$5000,2)="02")*('📥 Raw Data'!$R$2:$R$5000))</f>
        <v>0</v>
      </c>
      <c r="E5" s="37" t="n">
        <f aca="false">SUMPRODUCT(('📥 Raw Data'!$E$2:$E$5000=$D$2)*(LEFT('📥 Raw Data'!$C$2:$C$5000,2)="02")*1)</f>
        <v>0</v>
      </c>
      <c r="F5" s="47" t="n">
        <f aca="false">SUMPRODUCT(('📥 Raw Data'!$E$2:$E$5000=$F$2)*(LEFT('📥 Raw Data'!$C$2:$C$5000,2)="02")*('📥 Raw Data'!$R$2:$R$5000))</f>
        <v>0</v>
      </c>
      <c r="G5" s="37" t="n">
        <f aca="false">SUMPRODUCT(('📥 Raw Data'!$E$2:$E$5000=$F$2)*(LEFT('📥 Raw Data'!$C$2:$C$5000,2)="02")*1)</f>
        <v>0</v>
      </c>
      <c r="H5" s="47" t="n">
        <f aca="false">SUMPRODUCT(('📥 Raw Data'!$E$2:$E$5000=$H$2)*(LEFT('📥 Raw Data'!$C$2:$C$5000,2)="02")*('📥 Raw Data'!$R$2:$R$5000))</f>
        <v>0</v>
      </c>
      <c r="I5" s="37" t="n">
        <f aca="false">SUMPRODUCT(('📥 Raw Data'!$E$2:$E$5000=$H$2)*(LEFT('📥 Raw Data'!$C$2:$C$5000,2)="02")*1)</f>
        <v>0</v>
      </c>
    </row>
    <row r="6" customFormat="false" ht="18" hidden="false" customHeight="true" outlineLevel="0" collapsed="false">
      <c r="A6" s="33" t="s">
        <v>358</v>
      </c>
      <c r="B6" s="46" t="n">
        <f aca="false">SUMPRODUCT(('📥 Raw Data'!$E$2:$E$5000=$B$2)*(LEFT('📥 Raw Data'!$C$2:$C$5000,2)="03")*('📥 Raw Data'!$R$2:$R$5000))</f>
        <v>38740</v>
      </c>
      <c r="C6" s="39" t="n">
        <f aca="false">SUMPRODUCT(('📥 Raw Data'!$E$2:$E$5000=$B$2)*(LEFT('📥 Raw Data'!$C$2:$C$5000,2)="03")*1)</f>
        <v>3</v>
      </c>
      <c r="D6" s="46" t="n">
        <f aca="false">SUMPRODUCT(('📥 Raw Data'!$E$2:$E$5000=$D$2)*(LEFT('📥 Raw Data'!$C$2:$C$5000,2)="03")*('📥 Raw Data'!$R$2:$R$5000))</f>
        <v>0</v>
      </c>
      <c r="E6" s="39" t="n">
        <f aca="false">SUMPRODUCT(('📥 Raw Data'!$E$2:$E$5000=$D$2)*(LEFT('📥 Raw Data'!$C$2:$C$5000,2)="03")*1)</f>
        <v>0</v>
      </c>
      <c r="F6" s="46" t="n">
        <f aca="false">SUMPRODUCT(('📥 Raw Data'!$E$2:$E$5000=$F$2)*(LEFT('📥 Raw Data'!$C$2:$C$5000,2)="03")*('📥 Raw Data'!$R$2:$R$5000))</f>
        <v>0</v>
      </c>
      <c r="G6" s="39" t="n">
        <f aca="false">SUMPRODUCT(('📥 Raw Data'!$E$2:$E$5000=$F$2)*(LEFT('📥 Raw Data'!$C$2:$C$5000,2)="03")*1)</f>
        <v>0</v>
      </c>
      <c r="H6" s="46" t="n">
        <f aca="false">SUMPRODUCT(('📥 Raw Data'!$E$2:$E$5000=$H$2)*(LEFT('📥 Raw Data'!$C$2:$C$5000,2)="03")*('📥 Raw Data'!$R$2:$R$5000))</f>
        <v>0</v>
      </c>
      <c r="I6" s="39" t="n">
        <f aca="false">SUMPRODUCT(('📥 Raw Data'!$E$2:$E$5000=$H$2)*(LEFT('📥 Raw Data'!$C$2:$C$5000,2)="03")*1)</f>
        <v>0</v>
      </c>
    </row>
    <row r="7" customFormat="false" ht="18" hidden="false" customHeight="true" outlineLevel="0" collapsed="false">
      <c r="A7" s="36" t="s">
        <v>359</v>
      </c>
      <c r="B7" s="47" t="n">
        <f aca="false">SUMPRODUCT(('📥 Raw Data'!$E$2:$E$5000=$B$2)*(LEFT('📥 Raw Data'!$C$2:$C$5000,2)="04")*('📥 Raw Data'!$R$2:$R$5000))</f>
        <v>52583</v>
      </c>
      <c r="C7" s="37" t="n">
        <f aca="false">SUMPRODUCT(('📥 Raw Data'!$E$2:$E$5000=$B$2)*(LEFT('📥 Raw Data'!$C$2:$C$5000,2)="04")*1)</f>
        <v>5</v>
      </c>
      <c r="D7" s="47" t="n">
        <f aca="false">SUMPRODUCT(('📥 Raw Data'!$E$2:$E$5000=$D$2)*(LEFT('📥 Raw Data'!$C$2:$C$5000,2)="04")*('📥 Raw Data'!$R$2:$R$5000))</f>
        <v>0</v>
      </c>
      <c r="E7" s="37" t="n">
        <f aca="false">SUMPRODUCT(('📥 Raw Data'!$E$2:$E$5000=$D$2)*(LEFT('📥 Raw Data'!$C$2:$C$5000,2)="04")*1)</f>
        <v>0</v>
      </c>
      <c r="F7" s="47" t="n">
        <f aca="false">SUMPRODUCT(('📥 Raw Data'!$E$2:$E$5000=$F$2)*(LEFT('📥 Raw Data'!$C$2:$C$5000,2)="04")*('📥 Raw Data'!$R$2:$R$5000))</f>
        <v>0</v>
      </c>
      <c r="G7" s="37" t="n">
        <f aca="false">SUMPRODUCT(('📥 Raw Data'!$E$2:$E$5000=$F$2)*(LEFT('📥 Raw Data'!$C$2:$C$5000,2)="04")*1)</f>
        <v>0</v>
      </c>
      <c r="H7" s="47" t="n">
        <f aca="false">SUMPRODUCT(('📥 Raw Data'!$E$2:$E$5000=$H$2)*(LEFT('📥 Raw Data'!$C$2:$C$5000,2)="04")*('📥 Raw Data'!$R$2:$R$5000))</f>
        <v>0</v>
      </c>
      <c r="I7" s="37" t="n">
        <f aca="false">SUMPRODUCT(('📥 Raw Data'!$E$2:$E$5000=$H$2)*(LEFT('📥 Raw Data'!$C$2:$C$5000,2)="04")*1)</f>
        <v>0</v>
      </c>
    </row>
    <row r="8" customFormat="false" ht="18" hidden="false" customHeight="true" outlineLevel="0" collapsed="false">
      <c r="A8" s="33" t="s">
        <v>360</v>
      </c>
      <c r="B8" s="46" t="n">
        <f aca="false">SUMPRODUCT(('📥 Raw Data'!$E$2:$E$5000=$B$2)*(LEFT('📥 Raw Data'!$C$2:$C$5000,2)="05")*('📥 Raw Data'!$R$2:$R$5000))</f>
        <v>124834.75</v>
      </c>
      <c r="C8" s="39" t="n">
        <f aca="false">SUMPRODUCT(('📥 Raw Data'!$E$2:$E$5000=$B$2)*(LEFT('📥 Raw Data'!$C$2:$C$5000,2)="05")*1)</f>
        <v>6</v>
      </c>
      <c r="D8" s="46" t="n">
        <f aca="false">SUMPRODUCT(('📥 Raw Data'!$E$2:$E$5000=$D$2)*(LEFT('📥 Raw Data'!$C$2:$C$5000,2)="05")*('📥 Raw Data'!$R$2:$R$5000))</f>
        <v>0</v>
      </c>
      <c r="E8" s="39" t="n">
        <f aca="false">SUMPRODUCT(('📥 Raw Data'!$E$2:$E$5000=$D$2)*(LEFT('📥 Raw Data'!$C$2:$C$5000,2)="05")*1)</f>
        <v>0</v>
      </c>
      <c r="F8" s="46" t="n">
        <f aca="false">SUMPRODUCT(('📥 Raw Data'!$E$2:$E$5000=$F$2)*(LEFT('📥 Raw Data'!$C$2:$C$5000,2)="05")*('📥 Raw Data'!$R$2:$R$5000))</f>
        <v>0</v>
      </c>
      <c r="G8" s="39" t="n">
        <f aca="false">SUMPRODUCT(('📥 Raw Data'!$E$2:$E$5000=$F$2)*(LEFT('📥 Raw Data'!$C$2:$C$5000,2)="05")*1)</f>
        <v>0</v>
      </c>
      <c r="H8" s="46" t="n">
        <f aca="false">SUMPRODUCT(('📥 Raw Data'!$E$2:$E$5000=$H$2)*(LEFT('📥 Raw Data'!$C$2:$C$5000,2)="05")*('📥 Raw Data'!$R$2:$R$5000))</f>
        <v>0</v>
      </c>
      <c r="I8" s="39" t="n">
        <f aca="false">SUMPRODUCT(('📥 Raw Data'!$E$2:$E$5000=$H$2)*(LEFT('📥 Raw Data'!$C$2:$C$5000,2)="05")*1)</f>
        <v>0</v>
      </c>
    </row>
    <row r="9" customFormat="false" ht="18" hidden="false" customHeight="true" outlineLevel="0" collapsed="false">
      <c r="A9" s="36" t="s">
        <v>361</v>
      </c>
      <c r="B9" s="47" t="n">
        <f aca="false">SUMPRODUCT(('📥 Raw Data'!$E$2:$E$5000=$B$2)*(LEFT('📥 Raw Data'!$C$2:$C$5000,2)="06")*('📥 Raw Data'!$R$2:$R$5000))</f>
        <v>254205</v>
      </c>
      <c r="C9" s="37" t="n">
        <f aca="false">SUMPRODUCT(('📥 Raw Data'!$E$2:$E$5000=$B$2)*(LEFT('📥 Raw Data'!$C$2:$C$5000,2)="06")*1)</f>
        <v>6</v>
      </c>
      <c r="D9" s="47" t="n">
        <f aca="false">SUMPRODUCT(('📥 Raw Data'!$E$2:$E$5000=$D$2)*(LEFT('📥 Raw Data'!$C$2:$C$5000,2)="06")*('📥 Raw Data'!$R$2:$R$5000))</f>
        <v>0</v>
      </c>
      <c r="E9" s="37" t="n">
        <f aca="false">SUMPRODUCT(('📥 Raw Data'!$E$2:$E$5000=$D$2)*(LEFT('📥 Raw Data'!$C$2:$C$5000,2)="06")*1)</f>
        <v>0</v>
      </c>
      <c r="F9" s="47" t="n">
        <f aca="false">SUMPRODUCT(('📥 Raw Data'!$E$2:$E$5000=$F$2)*(LEFT('📥 Raw Data'!$C$2:$C$5000,2)="06")*('📥 Raw Data'!$R$2:$R$5000))</f>
        <v>0</v>
      </c>
      <c r="G9" s="37" t="n">
        <f aca="false">SUMPRODUCT(('📥 Raw Data'!$E$2:$E$5000=$F$2)*(LEFT('📥 Raw Data'!$C$2:$C$5000,2)="06")*1)</f>
        <v>0</v>
      </c>
      <c r="H9" s="47" t="n">
        <f aca="false">SUMPRODUCT(('📥 Raw Data'!$E$2:$E$5000=$H$2)*(LEFT('📥 Raw Data'!$C$2:$C$5000,2)="06")*('📥 Raw Data'!$R$2:$R$5000))</f>
        <v>0</v>
      </c>
      <c r="I9" s="37" t="n">
        <f aca="false">SUMPRODUCT(('📥 Raw Data'!$E$2:$E$5000=$H$2)*(LEFT('📥 Raw Data'!$C$2:$C$5000,2)="06")*1)</f>
        <v>0</v>
      </c>
    </row>
    <row r="10" customFormat="false" ht="18" hidden="false" customHeight="true" outlineLevel="0" collapsed="false">
      <c r="A10" s="33" t="s">
        <v>362</v>
      </c>
      <c r="B10" s="46" t="n">
        <f aca="false">SUMPRODUCT(('📥 Raw Data'!$E$2:$E$5000=$B$2)*(LEFT('📥 Raw Data'!$C$2:$C$5000,2)="07")*('📥 Raw Data'!$R$2:$R$5000))</f>
        <v>41046</v>
      </c>
      <c r="C10" s="39" t="n">
        <f aca="false">SUMPRODUCT(('📥 Raw Data'!$E$2:$E$5000=$B$2)*(LEFT('📥 Raw Data'!$C$2:$C$5000,2)="07")*1)</f>
        <v>5</v>
      </c>
      <c r="D10" s="46" t="n">
        <f aca="false">SUMPRODUCT(('📥 Raw Data'!$E$2:$E$5000=$D$2)*(LEFT('📥 Raw Data'!$C$2:$C$5000,2)="07")*('📥 Raw Data'!$R$2:$R$5000))</f>
        <v>0</v>
      </c>
      <c r="E10" s="39" t="n">
        <f aca="false">SUMPRODUCT(('📥 Raw Data'!$E$2:$E$5000=$D$2)*(LEFT('📥 Raw Data'!$C$2:$C$5000,2)="07")*1)</f>
        <v>0</v>
      </c>
      <c r="F10" s="46" t="n">
        <f aca="false">SUMPRODUCT(('📥 Raw Data'!$E$2:$E$5000=$F$2)*(LEFT('📥 Raw Data'!$C$2:$C$5000,2)="07")*('📥 Raw Data'!$R$2:$R$5000))</f>
        <v>0</v>
      </c>
      <c r="G10" s="39" t="n">
        <f aca="false">SUMPRODUCT(('📥 Raw Data'!$E$2:$E$5000=$F$2)*(LEFT('📥 Raw Data'!$C$2:$C$5000,2)="07")*1)</f>
        <v>0</v>
      </c>
      <c r="H10" s="46" t="n">
        <f aca="false">SUMPRODUCT(('📥 Raw Data'!$E$2:$E$5000=$H$2)*(LEFT('📥 Raw Data'!$C$2:$C$5000,2)="07")*('📥 Raw Data'!$R$2:$R$5000))</f>
        <v>0</v>
      </c>
      <c r="I10" s="39" t="n">
        <f aca="false">SUMPRODUCT(('📥 Raw Data'!$E$2:$E$5000=$H$2)*(LEFT('📥 Raw Data'!$C$2:$C$5000,2)="07")*1)</f>
        <v>0</v>
      </c>
    </row>
    <row r="11" customFormat="false" ht="18" hidden="false" customHeight="true" outlineLevel="0" collapsed="false">
      <c r="A11" s="36" t="s">
        <v>363</v>
      </c>
      <c r="B11" s="47" t="n">
        <f aca="false">SUMPRODUCT(('📥 Raw Data'!$E$2:$E$5000=$B$2)*(LEFT('📥 Raw Data'!$C$2:$C$5000,2)="08")*('📥 Raw Data'!$R$2:$R$5000))</f>
        <v>504705</v>
      </c>
      <c r="C11" s="37" t="n">
        <f aca="false">SUMPRODUCT(('📥 Raw Data'!$E$2:$E$5000=$B$2)*(LEFT('📥 Raw Data'!$C$2:$C$5000,2)="08")*1)</f>
        <v>6</v>
      </c>
      <c r="D11" s="47" t="n">
        <f aca="false">SUMPRODUCT(('📥 Raw Data'!$E$2:$E$5000=$D$2)*(LEFT('📥 Raw Data'!$C$2:$C$5000,2)="08")*('📥 Raw Data'!$R$2:$R$5000))</f>
        <v>0</v>
      </c>
      <c r="E11" s="37" t="n">
        <f aca="false">SUMPRODUCT(('📥 Raw Data'!$E$2:$E$5000=$D$2)*(LEFT('📥 Raw Data'!$C$2:$C$5000,2)="08")*1)</f>
        <v>0</v>
      </c>
      <c r="F11" s="47" t="n">
        <f aca="false">SUMPRODUCT(('📥 Raw Data'!$E$2:$E$5000=$F$2)*(LEFT('📥 Raw Data'!$C$2:$C$5000,2)="08")*('📥 Raw Data'!$R$2:$R$5000))</f>
        <v>0</v>
      </c>
      <c r="G11" s="37" t="n">
        <f aca="false">SUMPRODUCT(('📥 Raw Data'!$E$2:$E$5000=$F$2)*(LEFT('📥 Raw Data'!$C$2:$C$5000,2)="08")*1)</f>
        <v>0</v>
      </c>
      <c r="H11" s="47" t="n">
        <f aca="false">SUMPRODUCT(('📥 Raw Data'!$E$2:$E$5000=$H$2)*(LEFT('📥 Raw Data'!$C$2:$C$5000,2)="08")*('📥 Raw Data'!$R$2:$R$5000))</f>
        <v>0</v>
      </c>
      <c r="I11" s="37" t="n">
        <f aca="false">SUMPRODUCT(('📥 Raw Data'!$E$2:$E$5000=$H$2)*(LEFT('📥 Raw Data'!$C$2:$C$5000,2)="08")*1)</f>
        <v>0</v>
      </c>
    </row>
    <row r="12" customFormat="false" ht="18" hidden="false" customHeight="true" outlineLevel="0" collapsed="false">
      <c r="A12" s="33" t="s">
        <v>364</v>
      </c>
      <c r="B12" s="46" t="n">
        <f aca="false">SUMPRODUCT(('📥 Raw Data'!$E$2:$E$5000=$B$2)*(LEFT('📥 Raw Data'!$C$2:$C$5000,2)="09")*('📥 Raw Data'!$R$2:$R$5000))</f>
        <v>62334.1</v>
      </c>
      <c r="C12" s="39" t="n">
        <f aca="false">SUMPRODUCT(('📥 Raw Data'!$E$2:$E$5000=$B$2)*(LEFT('📥 Raw Data'!$C$2:$C$5000,2)="09")*1)</f>
        <v>6</v>
      </c>
      <c r="D12" s="46" t="n">
        <f aca="false">SUMPRODUCT(('📥 Raw Data'!$E$2:$E$5000=$D$2)*(LEFT('📥 Raw Data'!$C$2:$C$5000,2)="09")*('📥 Raw Data'!$R$2:$R$5000))</f>
        <v>0</v>
      </c>
      <c r="E12" s="39" t="n">
        <f aca="false">SUMPRODUCT(('📥 Raw Data'!$E$2:$E$5000=$D$2)*(LEFT('📥 Raw Data'!$C$2:$C$5000,2)="09")*1)</f>
        <v>0</v>
      </c>
      <c r="F12" s="46" t="n">
        <f aca="false">SUMPRODUCT(('📥 Raw Data'!$E$2:$E$5000=$F$2)*(LEFT('📥 Raw Data'!$C$2:$C$5000,2)="09")*('📥 Raw Data'!$R$2:$R$5000))</f>
        <v>0</v>
      </c>
      <c r="G12" s="39" t="n">
        <f aca="false">SUMPRODUCT(('📥 Raw Data'!$E$2:$E$5000=$F$2)*(LEFT('📥 Raw Data'!$C$2:$C$5000,2)="09")*1)</f>
        <v>0</v>
      </c>
      <c r="H12" s="46" t="n">
        <f aca="false">SUMPRODUCT(('📥 Raw Data'!$E$2:$E$5000=$H$2)*(LEFT('📥 Raw Data'!$C$2:$C$5000,2)="09")*('📥 Raw Data'!$R$2:$R$5000))</f>
        <v>0</v>
      </c>
      <c r="I12" s="39" t="n">
        <f aca="false">SUMPRODUCT(('📥 Raw Data'!$E$2:$E$5000=$H$2)*(LEFT('📥 Raw Data'!$C$2:$C$5000,2)="09")*1)</f>
        <v>0</v>
      </c>
    </row>
    <row r="13" customFormat="false" ht="18" hidden="false" customHeight="true" outlineLevel="0" collapsed="false">
      <c r="A13" s="36" t="s">
        <v>365</v>
      </c>
      <c r="B13" s="47" t="n">
        <f aca="false">SUMPRODUCT(('📥 Raw Data'!$E$2:$E$5000=$B$2)*(LEFT('📥 Raw Data'!$C$2:$C$5000,2)="10")*('📥 Raw Data'!$R$2:$R$5000))</f>
        <v>93413</v>
      </c>
      <c r="C13" s="37" t="n">
        <f aca="false">SUMPRODUCT(('📥 Raw Data'!$E$2:$E$5000=$B$2)*(LEFT('📥 Raw Data'!$C$2:$C$5000,2)="10")*1)</f>
        <v>4</v>
      </c>
      <c r="D13" s="47" t="n">
        <f aca="false">SUMPRODUCT(('📥 Raw Data'!$E$2:$E$5000=$D$2)*(LEFT('📥 Raw Data'!$C$2:$C$5000,2)="10")*('📥 Raw Data'!$R$2:$R$5000))</f>
        <v>0</v>
      </c>
      <c r="E13" s="37" t="n">
        <f aca="false">SUMPRODUCT(('📥 Raw Data'!$E$2:$E$5000=$D$2)*(LEFT('📥 Raw Data'!$C$2:$C$5000,2)="10")*1)</f>
        <v>0</v>
      </c>
      <c r="F13" s="47" t="n">
        <f aca="false">SUMPRODUCT(('📥 Raw Data'!$E$2:$E$5000=$F$2)*(LEFT('📥 Raw Data'!$C$2:$C$5000,2)="10")*('📥 Raw Data'!$R$2:$R$5000))</f>
        <v>0</v>
      </c>
      <c r="G13" s="37" t="n">
        <f aca="false">SUMPRODUCT(('📥 Raw Data'!$E$2:$E$5000=$F$2)*(LEFT('📥 Raw Data'!$C$2:$C$5000,2)="10")*1)</f>
        <v>0</v>
      </c>
      <c r="H13" s="47" t="n">
        <f aca="false">SUMPRODUCT(('📥 Raw Data'!$E$2:$E$5000=$H$2)*(LEFT('📥 Raw Data'!$C$2:$C$5000,2)="10")*('📥 Raw Data'!$R$2:$R$5000))</f>
        <v>0</v>
      </c>
      <c r="I13" s="37" t="n">
        <f aca="false">SUMPRODUCT(('📥 Raw Data'!$E$2:$E$5000=$H$2)*(LEFT('📥 Raw Data'!$C$2:$C$5000,2)="10")*1)</f>
        <v>0</v>
      </c>
    </row>
    <row r="14" customFormat="false" ht="18" hidden="false" customHeight="true" outlineLevel="0" collapsed="false">
      <c r="A14" s="33" t="s">
        <v>366</v>
      </c>
      <c r="B14" s="46" t="n">
        <f aca="false">SUMPRODUCT(('📥 Raw Data'!$E$2:$E$5000=$B$2)*(LEFT('📥 Raw Data'!$C$2:$C$5000,2)="11")*('📥 Raw Data'!$R$2:$R$5000))</f>
        <v>34485</v>
      </c>
      <c r="C14" s="39" t="n">
        <f aca="false">SUMPRODUCT(('📥 Raw Data'!$E$2:$E$5000=$B$2)*(LEFT('📥 Raw Data'!$C$2:$C$5000,2)="11")*1)</f>
        <v>1</v>
      </c>
      <c r="D14" s="46" t="n">
        <f aca="false">SUMPRODUCT(('📥 Raw Data'!$E$2:$E$5000=$D$2)*(LEFT('📥 Raw Data'!$C$2:$C$5000,2)="11")*('📥 Raw Data'!$R$2:$R$5000))</f>
        <v>0</v>
      </c>
      <c r="E14" s="39" t="n">
        <f aca="false">SUMPRODUCT(('📥 Raw Data'!$E$2:$E$5000=$D$2)*(LEFT('📥 Raw Data'!$C$2:$C$5000,2)="11")*1)</f>
        <v>0</v>
      </c>
      <c r="F14" s="46" t="n">
        <f aca="false">SUMPRODUCT(('📥 Raw Data'!$E$2:$E$5000=$F$2)*(LEFT('📥 Raw Data'!$C$2:$C$5000,2)="11")*('📥 Raw Data'!$R$2:$R$5000))</f>
        <v>0</v>
      </c>
      <c r="G14" s="39" t="n">
        <f aca="false">SUMPRODUCT(('📥 Raw Data'!$E$2:$E$5000=$F$2)*(LEFT('📥 Raw Data'!$C$2:$C$5000,2)="11")*1)</f>
        <v>0</v>
      </c>
      <c r="H14" s="46" t="n">
        <f aca="false">SUMPRODUCT(('📥 Raw Data'!$E$2:$E$5000=$H$2)*(LEFT('📥 Raw Data'!$C$2:$C$5000,2)="11")*('📥 Raw Data'!$R$2:$R$5000))</f>
        <v>0</v>
      </c>
      <c r="I14" s="39" t="n">
        <f aca="false">SUMPRODUCT(('📥 Raw Data'!$E$2:$E$5000=$H$2)*(LEFT('📥 Raw Data'!$C$2:$C$5000,2)="11")*1)</f>
        <v>0</v>
      </c>
    </row>
    <row r="15" customFormat="false" ht="18" hidden="false" customHeight="true" outlineLevel="0" collapsed="false">
      <c r="A15" s="36" t="s">
        <v>367</v>
      </c>
      <c r="B15" s="47" t="n">
        <f aca="false">SUMPRODUCT(('📥 Raw Data'!$E$2:$E$5000=$B$2)*(LEFT('📥 Raw Data'!$C$2:$C$5000,2)="12")*('📥 Raw Data'!$R$2:$R$5000))</f>
        <v>501721.3</v>
      </c>
      <c r="C15" s="37" t="n">
        <f aca="false">SUMPRODUCT(('📥 Raw Data'!$E$2:$E$5000=$B$2)*(LEFT('📥 Raw Data'!$C$2:$C$5000,2)="12")*1)</f>
        <v>4</v>
      </c>
      <c r="D15" s="47" t="n">
        <f aca="false">SUMPRODUCT(('📥 Raw Data'!$E$2:$E$5000=$D$2)*(LEFT('📥 Raw Data'!$C$2:$C$5000,2)="12")*('📥 Raw Data'!$R$2:$R$5000))</f>
        <v>0</v>
      </c>
      <c r="E15" s="37" t="n">
        <f aca="false">SUMPRODUCT(('📥 Raw Data'!$E$2:$E$5000=$D$2)*(LEFT('📥 Raw Data'!$C$2:$C$5000,2)="12")*1)</f>
        <v>0</v>
      </c>
      <c r="F15" s="47" t="n">
        <f aca="false">SUMPRODUCT(('📥 Raw Data'!$E$2:$E$5000=$F$2)*(LEFT('📥 Raw Data'!$C$2:$C$5000,2)="12")*('📥 Raw Data'!$R$2:$R$5000))</f>
        <v>0</v>
      </c>
      <c r="G15" s="37" t="n">
        <f aca="false">SUMPRODUCT(('📥 Raw Data'!$E$2:$E$5000=$F$2)*(LEFT('📥 Raw Data'!$C$2:$C$5000,2)="12")*1)</f>
        <v>0</v>
      </c>
      <c r="H15" s="47" t="n">
        <f aca="false">SUMPRODUCT(('📥 Raw Data'!$E$2:$E$5000=$H$2)*(LEFT('📥 Raw Data'!$C$2:$C$5000,2)="12")*('📥 Raw Data'!$R$2:$R$5000))</f>
        <v>0</v>
      </c>
      <c r="I15" s="37" t="n">
        <f aca="false">SUMPRODUCT(('📥 Raw Data'!$E$2:$E$5000=$H$2)*(LEFT('📥 Raw Data'!$C$2:$C$5000,2)="12")*1)</f>
        <v>0</v>
      </c>
    </row>
    <row r="16" customFormat="false" ht="19.5" hidden="false" customHeight="true" outlineLevel="0" collapsed="false">
      <c r="A16" s="48" t="s">
        <v>368</v>
      </c>
      <c r="B16" s="49" t="n">
        <f aca="false">SUM(B4:B15)</f>
        <v>1875360.3</v>
      </c>
      <c r="C16" s="50" t="n">
        <f aca="false">SUM(C4:C15)</f>
        <v>52</v>
      </c>
      <c r="D16" s="49" t="n">
        <f aca="false">SUM(D4:D15)</f>
        <v>161597.4</v>
      </c>
      <c r="E16" s="50" t="n">
        <f aca="false">SUM(E4:E15)</f>
        <v>5</v>
      </c>
      <c r="F16" s="49" t="n">
        <f aca="false">SUM(F4:F15)</f>
        <v>0</v>
      </c>
      <c r="G16" s="50" t="n">
        <f aca="false">SUM(G4:G15)</f>
        <v>0</v>
      </c>
      <c r="H16" s="49" t="n">
        <f aca="false">SUM(H4:H15)</f>
        <v>0</v>
      </c>
      <c r="I16" s="50" t="n">
        <f aca="false">SUM(I4:I15)</f>
        <v>0</v>
      </c>
    </row>
  </sheetData>
  <mergeCells count="5">
    <mergeCell ref="A1:K1"/>
    <mergeCell ref="B2:C2"/>
    <mergeCell ref="D2:E2"/>
    <mergeCell ref="F2:G2"/>
    <mergeCell ref="H2:I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E44AD"/>
    <pageSetUpPr fitToPage="false"/>
  </sheetPr>
  <dimension ref="A1:G19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36"/>
    <col collapsed="false" customWidth="true" hidden="false" outlineLevel="0" max="6" min="2" style="0" width="16"/>
  </cols>
  <sheetData>
    <row r="1" customFormat="false" ht="27.75" hidden="false" customHeight="true" outlineLevel="0" collapsed="false">
      <c r="A1" s="27" t="s">
        <v>369</v>
      </c>
      <c r="B1" s="27"/>
      <c r="C1" s="27"/>
      <c r="D1" s="27"/>
      <c r="E1" s="27"/>
      <c r="F1" s="27"/>
      <c r="G1" s="27"/>
    </row>
    <row r="3" customFormat="false" ht="19.5" hidden="false" customHeight="true" outlineLevel="0" collapsed="false">
      <c r="A3" s="29" t="s">
        <v>370</v>
      </c>
      <c r="B3" s="30" t="n">
        <v>2022</v>
      </c>
      <c r="C3" s="30" t="n">
        <v>2023</v>
      </c>
      <c r="D3" s="30" t="n">
        <v>2024</v>
      </c>
      <c r="E3" s="30" t="n">
        <v>2025</v>
      </c>
      <c r="F3" s="51" t="s">
        <v>371</v>
      </c>
    </row>
    <row r="4" customFormat="false" ht="18" hidden="false" customHeight="true" outlineLevel="0" collapsed="false">
      <c r="A4" s="33" t="s">
        <v>94</v>
      </c>
      <c r="B4" s="46" t="n">
        <f aca="false">SUMPRODUCT(('📥 Raw Data'!$E$2:$E$5000=$B$3)*('📥 Raw Data'!$G$2:$G$5000=A4)*('📥 Raw Data'!$R$2:$R$5000))</f>
        <v>37885</v>
      </c>
      <c r="C4" s="46" t="n">
        <f aca="false">SUMPRODUCT(('📥 Raw Data'!$E$2:$E$5000=$C$3)*('📥 Raw Data'!$G$2:$G$5000=A4)*('📥 Raw Data'!$R$2:$R$5000))</f>
        <v>16125</v>
      </c>
      <c r="D4" s="46" t="n">
        <f aca="false">SUMPRODUCT(('📥 Raw Data'!$E$2:$E$5000=$D$3)*('📥 Raw Data'!$G$2:$G$5000=A4)*('📥 Raw Data'!$R$2:$R$5000))</f>
        <v>0</v>
      </c>
      <c r="E4" s="46" t="n">
        <f aca="false">SUMPRODUCT(('📥 Raw Data'!$E$2:$E$5000=$E$3)*('📥 Raw Data'!$G$2:$G$5000=A4)*('📥 Raw Data'!$R$2:$R$5000))</f>
        <v>0</v>
      </c>
      <c r="F4" s="52" t="n">
        <f aca="false">SUM(B4,C4,D4,E4)</f>
        <v>54010</v>
      </c>
    </row>
    <row r="5" customFormat="false" ht="18" hidden="false" customHeight="true" outlineLevel="0" collapsed="false">
      <c r="A5" s="36" t="s">
        <v>77</v>
      </c>
      <c r="B5" s="47" t="n">
        <f aca="false">SUMPRODUCT(('📥 Raw Data'!$E$2:$E$5000=$B$3)*('📥 Raw Data'!$G$2:$G$5000=A5)*('📥 Raw Data'!$R$2:$R$5000))</f>
        <v>337106</v>
      </c>
      <c r="C5" s="47" t="n">
        <f aca="false">SUMPRODUCT(('📥 Raw Data'!$E$2:$E$5000=$C$3)*('📥 Raw Data'!$G$2:$G$5000=A5)*('📥 Raw Data'!$R$2:$R$5000))</f>
        <v>110940.4</v>
      </c>
      <c r="D5" s="47" t="n">
        <f aca="false">SUMPRODUCT(('📥 Raw Data'!$E$2:$E$5000=$D$3)*('📥 Raw Data'!$G$2:$G$5000=A5)*('📥 Raw Data'!$R$2:$R$5000))</f>
        <v>0</v>
      </c>
      <c r="E5" s="47" t="n">
        <f aca="false">SUMPRODUCT(('📥 Raw Data'!$E$2:$E$5000=$E$3)*('📥 Raw Data'!$G$2:$G$5000=A5)*('📥 Raw Data'!$R$2:$R$5000))</f>
        <v>0</v>
      </c>
      <c r="F5" s="53" t="n">
        <f aca="false">SUM(B5,C5,D5,E5)</f>
        <v>448046.4</v>
      </c>
    </row>
    <row r="6" customFormat="false" ht="18" hidden="false" customHeight="true" outlineLevel="0" collapsed="false">
      <c r="A6" s="33" t="s">
        <v>241</v>
      </c>
      <c r="B6" s="46" t="n">
        <f aca="false">SUMPRODUCT(('📥 Raw Data'!$E$2:$E$5000=$B$3)*('📥 Raw Data'!$G$2:$G$5000=A6)*('📥 Raw Data'!$R$2:$R$5000))</f>
        <v>151218.3</v>
      </c>
      <c r="C6" s="46" t="n">
        <f aca="false">SUMPRODUCT(('📥 Raw Data'!$E$2:$E$5000=$C$3)*('📥 Raw Data'!$G$2:$G$5000=A6)*('📥 Raw Data'!$R$2:$R$5000))</f>
        <v>0</v>
      </c>
      <c r="D6" s="46" t="n">
        <f aca="false">SUMPRODUCT(('📥 Raw Data'!$E$2:$E$5000=$D$3)*('📥 Raw Data'!$G$2:$G$5000=A6)*('📥 Raw Data'!$R$2:$R$5000))</f>
        <v>0</v>
      </c>
      <c r="E6" s="46" t="n">
        <f aca="false">SUMPRODUCT(('📥 Raw Data'!$E$2:$E$5000=$E$3)*('📥 Raw Data'!$G$2:$G$5000=A6)*('📥 Raw Data'!$R$2:$R$5000))</f>
        <v>0</v>
      </c>
      <c r="F6" s="52" t="n">
        <f aca="false">SUM(B6,C6,D6,E6)</f>
        <v>151218.3</v>
      </c>
    </row>
    <row r="7" customFormat="false" ht="18" hidden="false" customHeight="true" outlineLevel="0" collapsed="false">
      <c r="A7" s="36" t="s">
        <v>180</v>
      </c>
      <c r="B7" s="47" t="n">
        <f aca="false">SUMPRODUCT(('📥 Raw Data'!$E$2:$E$5000=$B$3)*('📥 Raw Data'!$G$2:$G$5000=A7)*('📥 Raw Data'!$R$2:$R$5000))</f>
        <v>351775</v>
      </c>
      <c r="C7" s="47" t="n">
        <f aca="false">SUMPRODUCT(('📥 Raw Data'!$E$2:$E$5000=$C$3)*('📥 Raw Data'!$G$2:$G$5000=A7)*('📥 Raw Data'!$R$2:$R$5000))</f>
        <v>10634</v>
      </c>
      <c r="D7" s="47" t="n">
        <f aca="false">SUMPRODUCT(('📥 Raw Data'!$E$2:$E$5000=$D$3)*('📥 Raw Data'!$G$2:$G$5000=A7)*('📥 Raw Data'!$R$2:$R$5000))</f>
        <v>0</v>
      </c>
      <c r="E7" s="47" t="n">
        <f aca="false">SUMPRODUCT(('📥 Raw Data'!$E$2:$E$5000=$E$3)*('📥 Raw Data'!$G$2:$G$5000=A7)*('📥 Raw Data'!$R$2:$R$5000))</f>
        <v>0</v>
      </c>
      <c r="F7" s="53" t="n">
        <f aca="false">SUM(B7,C7,D7,E7)</f>
        <v>362409</v>
      </c>
    </row>
    <row r="8" customFormat="false" ht="18" hidden="false" customHeight="true" outlineLevel="0" collapsed="false">
      <c r="A8" s="33" t="s">
        <v>133</v>
      </c>
      <c r="B8" s="46" t="n">
        <f aca="false">SUMPRODUCT(('📥 Raw Data'!$E$2:$E$5000=$B$3)*('📥 Raw Data'!$G$2:$G$5000=A8)*('📥 Raw Data'!$R$2:$R$5000))</f>
        <v>28369.1</v>
      </c>
      <c r="C8" s="46" t="n">
        <f aca="false">SUMPRODUCT(('📥 Raw Data'!$E$2:$E$5000=$C$3)*('📥 Raw Data'!$G$2:$G$5000=A8)*('📥 Raw Data'!$R$2:$R$5000))</f>
        <v>0</v>
      </c>
      <c r="D8" s="46" t="n">
        <f aca="false">SUMPRODUCT(('📥 Raw Data'!$E$2:$E$5000=$D$3)*('📥 Raw Data'!$G$2:$G$5000=A8)*('📥 Raw Data'!$R$2:$R$5000))</f>
        <v>0</v>
      </c>
      <c r="E8" s="46" t="n">
        <f aca="false">SUMPRODUCT(('📥 Raw Data'!$E$2:$E$5000=$E$3)*('📥 Raw Data'!$G$2:$G$5000=A8)*('📥 Raw Data'!$R$2:$R$5000))</f>
        <v>0</v>
      </c>
      <c r="F8" s="52" t="n">
        <f aca="false">SUM(B8,C8,D8,E8)</f>
        <v>28369.1</v>
      </c>
    </row>
    <row r="9" customFormat="false" ht="18" hidden="false" customHeight="true" outlineLevel="0" collapsed="false">
      <c r="A9" s="36" t="s">
        <v>108</v>
      </c>
      <c r="B9" s="47" t="n">
        <f aca="false">SUMPRODUCT(('📥 Raw Data'!$E$2:$E$5000=$B$3)*('📥 Raw Data'!$G$2:$G$5000=A9)*('📥 Raw Data'!$R$2:$R$5000))</f>
        <v>49010</v>
      </c>
      <c r="C9" s="47" t="n">
        <f aca="false">SUMPRODUCT(('📥 Raw Data'!$E$2:$E$5000=$C$3)*('📥 Raw Data'!$G$2:$G$5000=A9)*('📥 Raw Data'!$R$2:$R$5000))</f>
        <v>0</v>
      </c>
      <c r="D9" s="47" t="n">
        <f aca="false">SUMPRODUCT(('📥 Raw Data'!$E$2:$E$5000=$D$3)*('📥 Raw Data'!$G$2:$G$5000=A9)*('📥 Raw Data'!$R$2:$R$5000))</f>
        <v>0</v>
      </c>
      <c r="E9" s="47" t="n">
        <f aca="false">SUMPRODUCT(('📥 Raw Data'!$E$2:$E$5000=$E$3)*('📥 Raw Data'!$G$2:$G$5000=A9)*('📥 Raw Data'!$R$2:$R$5000))</f>
        <v>0</v>
      </c>
      <c r="F9" s="53" t="n">
        <f aca="false">SUM(B9,C9,D9,E9)</f>
        <v>49010</v>
      </c>
    </row>
    <row r="10" customFormat="false" ht="18" hidden="false" customHeight="true" outlineLevel="0" collapsed="false">
      <c r="A10" s="33" t="s">
        <v>124</v>
      </c>
      <c r="B10" s="46" t="n">
        <f aca="false">SUMPRODUCT(('📥 Raw Data'!$E$2:$E$5000=$B$3)*('📥 Raw Data'!$G$2:$G$5000=A10)*('📥 Raw Data'!$R$2:$R$5000))</f>
        <v>45810</v>
      </c>
      <c r="C10" s="46" t="n">
        <f aca="false">SUMPRODUCT(('📥 Raw Data'!$E$2:$E$5000=$C$3)*('📥 Raw Data'!$G$2:$G$5000=A10)*('📥 Raw Data'!$R$2:$R$5000))</f>
        <v>0</v>
      </c>
      <c r="D10" s="46" t="n">
        <f aca="false">SUMPRODUCT(('📥 Raw Data'!$E$2:$E$5000=$D$3)*('📥 Raw Data'!$G$2:$G$5000=A10)*('📥 Raw Data'!$R$2:$R$5000))</f>
        <v>0</v>
      </c>
      <c r="E10" s="46" t="n">
        <f aca="false">SUMPRODUCT(('📥 Raw Data'!$E$2:$E$5000=$E$3)*('📥 Raw Data'!$G$2:$G$5000=A10)*('📥 Raw Data'!$R$2:$R$5000))</f>
        <v>0</v>
      </c>
      <c r="F10" s="52" t="n">
        <f aca="false">SUM(B10,C10,D10,E10)</f>
        <v>45810</v>
      </c>
    </row>
    <row r="11" customFormat="false" ht="18" hidden="false" customHeight="true" outlineLevel="0" collapsed="false">
      <c r="A11" s="36" t="s">
        <v>204</v>
      </c>
      <c r="B11" s="47" t="n">
        <f aca="false">SUMPRODUCT(('📥 Raw Data'!$E$2:$E$5000=$B$3)*('📥 Raw Data'!$G$2:$G$5000=A11)*('📥 Raw Data'!$R$2:$R$5000))</f>
        <v>6558</v>
      </c>
      <c r="C11" s="47" t="n">
        <f aca="false">SUMPRODUCT(('📥 Raw Data'!$E$2:$E$5000=$C$3)*('📥 Raw Data'!$G$2:$G$5000=A11)*('📥 Raw Data'!$R$2:$R$5000))</f>
        <v>7136</v>
      </c>
      <c r="D11" s="47" t="n">
        <f aca="false">SUMPRODUCT(('📥 Raw Data'!$E$2:$E$5000=$D$3)*('📥 Raw Data'!$G$2:$G$5000=A11)*('📥 Raw Data'!$R$2:$R$5000))</f>
        <v>0</v>
      </c>
      <c r="E11" s="47" t="n">
        <f aca="false">SUMPRODUCT(('📥 Raw Data'!$E$2:$E$5000=$E$3)*('📥 Raw Data'!$G$2:$G$5000=A11)*('📥 Raw Data'!$R$2:$R$5000))</f>
        <v>0</v>
      </c>
      <c r="F11" s="53" t="n">
        <f aca="false">SUM(B11,C11,D11,E11)</f>
        <v>13694</v>
      </c>
    </row>
    <row r="12" customFormat="false" ht="18" hidden="false" customHeight="true" outlineLevel="0" collapsed="false">
      <c r="A12" s="33" t="s">
        <v>192</v>
      </c>
      <c r="B12" s="46" t="n">
        <f aca="false">SUMPRODUCT(('📥 Raw Data'!$E$2:$E$5000=$B$3)*('📥 Raw Data'!$G$2:$G$5000=A12)*('📥 Raw Data'!$R$2:$R$5000))</f>
        <v>56274</v>
      </c>
      <c r="C12" s="46" t="n">
        <f aca="false">SUMPRODUCT(('📥 Raw Data'!$E$2:$E$5000=$C$3)*('📥 Raw Data'!$G$2:$G$5000=A12)*('📥 Raw Data'!$R$2:$R$5000))</f>
        <v>0</v>
      </c>
      <c r="D12" s="46" t="n">
        <f aca="false">SUMPRODUCT(('📥 Raw Data'!$E$2:$E$5000=$D$3)*('📥 Raw Data'!$G$2:$G$5000=A12)*('📥 Raw Data'!$R$2:$R$5000))</f>
        <v>0</v>
      </c>
      <c r="E12" s="46" t="n">
        <f aca="false">SUMPRODUCT(('📥 Raw Data'!$E$2:$E$5000=$E$3)*('📥 Raw Data'!$G$2:$G$5000=A12)*('📥 Raw Data'!$R$2:$R$5000))</f>
        <v>0</v>
      </c>
      <c r="F12" s="52" t="n">
        <f aca="false">SUM(B12,C12,D12,E12)</f>
        <v>56274</v>
      </c>
    </row>
    <row r="13" customFormat="false" ht="18" hidden="false" customHeight="true" outlineLevel="0" collapsed="false">
      <c r="A13" s="36" t="s">
        <v>160</v>
      </c>
      <c r="B13" s="47" t="n">
        <f aca="false">SUMPRODUCT(('📥 Raw Data'!$E$2:$E$5000=$B$3)*('📥 Raw Data'!$G$2:$G$5000=A13)*('📥 Raw Data'!$R$2:$R$5000))</f>
        <v>49876.75</v>
      </c>
      <c r="C13" s="47" t="n">
        <f aca="false">SUMPRODUCT(('📥 Raw Data'!$E$2:$E$5000=$C$3)*('📥 Raw Data'!$G$2:$G$5000=A13)*('📥 Raw Data'!$R$2:$R$5000))</f>
        <v>0</v>
      </c>
      <c r="D13" s="47" t="n">
        <f aca="false">SUMPRODUCT(('📥 Raw Data'!$E$2:$E$5000=$D$3)*('📥 Raw Data'!$G$2:$G$5000=A13)*('📥 Raw Data'!$R$2:$R$5000))</f>
        <v>0</v>
      </c>
      <c r="E13" s="47" t="n">
        <f aca="false">SUMPRODUCT(('📥 Raw Data'!$E$2:$E$5000=$E$3)*('📥 Raw Data'!$G$2:$G$5000=A13)*('📥 Raw Data'!$R$2:$R$5000))</f>
        <v>0</v>
      </c>
      <c r="F13" s="53" t="n">
        <f aca="false">SUM(B13,C13,D13,E13)</f>
        <v>49876.75</v>
      </c>
    </row>
    <row r="14" customFormat="false" ht="18" hidden="false" customHeight="true" outlineLevel="0" collapsed="false">
      <c r="A14" s="33" t="s">
        <v>52</v>
      </c>
      <c r="B14" s="46" t="n">
        <f aca="false">SUMPRODUCT(('📥 Raw Data'!$E$2:$E$5000=$B$3)*('📥 Raw Data'!$G$2:$G$5000=A14)*('📥 Raw Data'!$R$2:$R$5000))</f>
        <v>72664</v>
      </c>
      <c r="C14" s="46" t="n">
        <f aca="false">SUMPRODUCT(('📥 Raw Data'!$E$2:$E$5000=$C$3)*('📥 Raw Data'!$G$2:$G$5000=A14)*('📥 Raw Data'!$R$2:$R$5000))</f>
        <v>0</v>
      </c>
      <c r="D14" s="46" t="n">
        <f aca="false">SUMPRODUCT(('📥 Raw Data'!$E$2:$E$5000=$D$3)*('📥 Raw Data'!$G$2:$G$5000=A14)*('📥 Raw Data'!$R$2:$R$5000))</f>
        <v>0</v>
      </c>
      <c r="E14" s="46" t="n">
        <f aca="false">SUMPRODUCT(('📥 Raw Data'!$E$2:$E$5000=$E$3)*('📥 Raw Data'!$G$2:$G$5000=A14)*('📥 Raw Data'!$R$2:$R$5000))</f>
        <v>0</v>
      </c>
      <c r="F14" s="52" t="n">
        <f aca="false">SUM(B14,C14,D14,E14)</f>
        <v>72664</v>
      </c>
    </row>
    <row r="15" customFormat="false" ht="18" hidden="false" customHeight="true" outlineLevel="0" collapsed="false">
      <c r="A15" s="36" t="s">
        <v>101</v>
      </c>
      <c r="B15" s="47" t="n">
        <f aca="false">SUMPRODUCT(('📥 Raw Data'!$E$2:$E$5000=$B$3)*('📥 Raw Data'!$G$2:$G$5000=A15)*('📥 Raw Data'!$R$2:$R$5000))</f>
        <v>14619</v>
      </c>
      <c r="C15" s="47" t="n">
        <f aca="false">SUMPRODUCT(('📥 Raw Data'!$E$2:$E$5000=$C$3)*('📥 Raw Data'!$G$2:$G$5000=A15)*('📥 Raw Data'!$R$2:$R$5000))</f>
        <v>0</v>
      </c>
      <c r="D15" s="47" t="n">
        <f aca="false">SUMPRODUCT(('📥 Raw Data'!$E$2:$E$5000=$D$3)*('📥 Raw Data'!$G$2:$G$5000=A15)*('📥 Raw Data'!$R$2:$R$5000))</f>
        <v>0</v>
      </c>
      <c r="E15" s="47" t="n">
        <f aca="false">SUMPRODUCT(('📥 Raw Data'!$E$2:$E$5000=$E$3)*('📥 Raw Data'!$G$2:$G$5000=A15)*('📥 Raw Data'!$R$2:$R$5000))</f>
        <v>0</v>
      </c>
      <c r="F15" s="53" t="n">
        <f aca="false">SUM(B15,C15,D15,E15)</f>
        <v>14619</v>
      </c>
    </row>
    <row r="16" customFormat="false" ht="18" hidden="false" customHeight="true" outlineLevel="0" collapsed="false">
      <c r="A16" s="33" t="s">
        <v>43</v>
      </c>
      <c r="B16" s="46" t="n">
        <f aca="false">SUMPRODUCT(('📥 Raw Data'!$E$2:$E$5000=$B$3)*('📥 Raw Data'!$G$2:$G$5000=A16)*('📥 Raw Data'!$R$2:$R$5000))</f>
        <v>61710</v>
      </c>
      <c r="C16" s="46" t="n">
        <f aca="false">SUMPRODUCT(('📥 Raw Data'!$E$2:$E$5000=$C$3)*('📥 Raw Data'!$G$2:$G$5000=A16)*('📥 Raw Data'!$R$2:$R$5000))</f>
        <v>0</v>
      </c>
      <c r="D16" s="46" t="n">
        <f aca="false">SUMPRODUCT(('📥 Raw Data'!$E$2:$E$5000=$D$3)*('📥 Raw Data'!$G$2:$G$5000=A16)*('📥 Raw Data'!$R$2:$R$5000))</f>
        <v>0</v>
      </c>
      <c r="E16" s="46" t="n">
        <f aca="false">SUMPRODUCT(('📥 Raw Data'!$E$2:$E$5000=$E$3)*('📥 Raw Data'!$G$2:$G$5000=A16)*('📥 Raw Data'!$R$2:$R$5000))</f>
        <v>0</v>
      </c>
      <c r="F16" s="52" t="n">
        <f aca="false">SUM(B16,C16,D16,E16)</f>
        <v>61710</v>
      </c>
    </row>
    <row r="17" customFormat="false" ht="18" hidden="false" customHeight="true" outlineLevel="0" collapsed="false">
      <c r="A17" s="36" t="s">
        <v>293</v>
      </c>
      <c r="B17" s="47" t="n">
        <f aca="false">SUMPRODUCT(('📥 Raw Data'!$E$2:$E$5000=$B$3)*('📥 Raw Data'!$G$2:$G$5000=A17)*('📥 Raw Data'!$R$2:$R$5000))</f>
        <v>346995</v>
      </c>
      <c r="C17" s="47" t="n">
        <f aca="false">SUMPRODUCT(('📥 Raw Data'!$E$2:$E$5000=$C$3)*('📥 Raw Data'!$G$2:$G$5000=A17)*('📥 Raw Data'!$R$2:$R$5000))</f>
        <v>0</v>
      </c>
      <c r="D17" s="47" t="n">
        <f aca="false">SUMPRODUCT(('📥 Raw Data'!$E$2:$E$5000=$D$3)*('📥 Raw Data'!$G$2:$G$5000=A17)*('📥 Raw Data'!$R$2:$R$5000))</f>
        <v>0</v>
      </c>
      <c r="E17" s="47" t="n">
        <f aca="false">SUMPRODUCT(('📥 Raw Data'!$E$2:$E$5000=$E$3)*('📥 Raw Data'!$G$2:$G$5000=A17)*('📥 Raw Data'!$R$2:$R$5000))</f>
        <v>0</v>
      </c>
      <c r="F17" s="53" t="n">
        <f aca="false">SUM(B17,C17,D17,E17)</f>
        <v>346995</v>
      </c>
    </row>
    <row r="18" customFormat="false" ht="18" hidden="false" customHeight="true" outlineLevel="0" collapsed="false">
      <c r="A18" s="33" t="s">
        <v>69</v>
      </c>
      <c r="B18" s="46" t="n">
        <f aca="false">SUMPRODUCT(('📥 Raw Data'!$E$2:$E$5000=$B$3)*('📥 Raw Data'!$G$2:$G$5000=A18)*('📥 Raw Data'!$R$2:$R$5000))</f>
        <v>22724</v>
      </c>
      <c r="C18" s="46" t="n">
        <f aca="false">SUMPRODUCT(('📥 Raw Data'!$E$2:$E$5000=$C$3)*('📥 Raw Data'!$G$2:$G$5000=A18)*('📥 Raw Data'!$R$2:$R$5000))</f>
        <v>0</v>
      </c>
      <c r="D18" s="46" t="n">
        <f aca="false">SUMPRODUCT(('📥 Raw Data'!$E$2:$E$5000=$D$3)*('📥 Raw Data'!$G$2:$G$5000=A18)*('📥 Raw Data'!$R$2:$R$5000))</f>
        <v>0</v>
      </c>
      <c r="E18" s="46" t="n">
        <f aca="false">SUMPRODUCT(('📥 Raw Data'!$E$2:$E$5000=$E$3)*('📥 Raw Data'!$G$2:$G$5000=A18)*('📥 Raw Data'!$R$2:$R$5000))</f>
        <v>0</v>
      </c>
      <c r="F18" s="52" t="n">
        <f aca="false">SUM(B18,C18,D18,E18)</f>
        <v>22724</v>
      </c>
    </row>
    <row r="19" customFormat="false" ht="19.5" hidden="false" customHeight="true" outlineLevel="0" collapsed="false">
      <c r="A19" s="48" t="s">
        <v>368</v>
      </c>
      <c r="B19" s="49" t="n">
        <f aca="false">SUM(B4:B18)</f>
        <v>1632594.15</v>
      </c>
      <c r="C19" s="49" t="n">
        <f aca="false">SUM(C4:C18)</f>
        <v>144835.4</v>
      </c>
      <c r="D19" s="49" t="n">
        <f aca="false">SUM(D4:D18)</f>
        <v>0</v>
      </c>
      <c r="E19" s="49" t="n">
        <f aca="false">SUM(E4:E18)</f>
        <v>0</v>
      </c>
      <c r="F19" s="49" t="n">
        <f aca="false">SUM(F4:F18)</f>
        <v>1777429.55</v>
      </c>
    </row>
  </sheetData>
  <mergeCells count="1">
    <mergeCell ref="A1:G1"/>
  </mergeCells>
  <conditionalFormatting sqref="B4:E18">
    <cfRule type="colorScale" priority="2">
      <colorScale>
        <cfvo type="min" val="0"/>
        <cfvo type="max" val="0"/>
        <color rgb="FFFFFFFF"/>
        <color rgb="FF2E5FA3"/>
      </colorScale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67E22"/>
    <pageSetUpPr fitToPage="false"/>
  </sheetPr>
  <dimension ref="A1:K13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9" min="2" style="0" width="14"/>
  </cols>
  <sheetData>
    <row r="1" customFormat="false" ht="27.75" hidden="false" customHeight="true" outlineLevel="0" collapsed="false">
      <c r="A1" s="27" t="s">
        <v>372</v>
      </c>
      <c r="B1" s="27"/>
      <c r="C1" s="27"/>
      <c r="D1" s="27"/>
      <c r="E1" s="27"/>
      <c r="F1" s="27"/>
      <c r="G1" s="27"/>
      <c r="H1" s="27"/>
      <c r="I1" s="27"/>
      <c r="J1" s="27"/>
      <c r="K1" s="27"/>
    </row>
    <row r="2" customFormat="false" ht="15" hidden="false" customHeight="false" outlineLevel="0" collapsed="false">
      <c r="B2" s="43" t="n">
        <v>2022</v>
      </c>
      <c r="C2" s="43"/>
      <c r="D2" s="43" t="n">
        <v>2023</v>
      </c>
      <c r="E2" s="43"/>
      <c r="F2" s="43" t="n">
        <v>2024</v>
      </c>
      <c r="G2" s="43"/>
      <c r="H2" s="43" t="n">
        <v>2025</v>
      </c>
      <c r="I2" s="43"/>
    </row>
    <row r="3" customFormat="false" ht="19.5" hidden="false" customHeight="true" outlineLevel="0" collapsed="false">
      <c r="A3" s="29" t="s">
        <v>32</v>
      </c>
      <c r="B3" s="45" t="s">
        <v>373</v>
      </c>
      <c r="C3" s="45" t="s">
        <v>374</v>
      </c>
      <c r="D3" s="45" t="s">
        <v>373</v>
      </c>
      <c r="E3" s="45" t="s">
        <v>374</v>
      </c>
      <c r="F3" s="45" t="s">
        <v>373</v>
      </c>
      <c r="G3" s="45" t="s">
        <v>374</v>
      </c>
      <c r="H3" s="45" t="s">
        <v>373</v>
      </c>
      <c r="I3" s="45" t="s">
        <v>374</v>
      </c>
    </row>
    <row r="4" customFormat="false" ht="18" hidden="false" customHeight="true" outlineLevel="0" collapsed="false">
      <c r="A4" s="33" t="s">
        <v>79</v>
      </c>
      <c r="B4" s="46" t="n">
        <f aca="false">SUMPRODUCT(('📥 Raw Data'!$E$2:$E$5000=$B$2)*('📥 Raw Data'!$L$2:$L$5000=A4)*('📥 Raw Data'!$R$2:$R$5000))</f>
        <v>913966</v>
      </c>
      <c r="C4" s="35" t="n">
        <f aca="false">IFERROR(B4/B13,"-")</f>
        <v>0.487354883218974</v>
      </c>
      <c r="D4" s="46" t="n">
        <f aca="false">SUMPRODUCT(('📥 Raw Data'!$E$2:$E$5000=$D$2)*('📥 Raw Data'!$L$2:$L$5000=A4)*('📥 Raw Data'!$R$2:$R$5000))</f>
        <v>43521</v>
      </c>
      <c r="E4" s="35" t="n">
        <f aca="false">IFERROR(D4/D13,"-")</f>
        <v>0.269317451889696</v>
      </c>
      <c r="F4" s="46" t="n">
        <f aca="false">SUMPRODUCT(('📥 Raw Data'!$E$2:$E$5000=$F$2)*('📥 Raw Data'!$L$2:$L$5000=A4)*('📥 Raw Data'!$R$2:$R$5000))</f>
        <v>0</v>
      </c>
      <c r="G4" s="35" t="str">
        <f aca="false">IFERROR(F4/F13,"-")</f>
        <v>-</v>
      </c>
      <c r="H4" s="46" t="n">
        <f aca="false">SUMPRODUCT(('📥 Raw Data'!$E$2:$E$5000=$H$2)*('📥 Raw Data'!$L$2:$L$5000=A4)*('📥 Raw Data'!$R$2:$R$5000))</f>
        <v>0</v>
      </c>
      <c r="I4" s="35" t="str">
        <f aca="false">IFERROR(H4/H13,"-")</f>
        <v>-</v>
      </c>
    </row>
    <row r="5" customFormat="false" ht="18" hidden="false" customHeight="true" outlineLevel="0" collapsed="false">
      <c r="A5" s="36" t="s">
        <v>144</v>
      </c>
      <c r="B5" s="47" t="n">
        <f aca="false">SUMPRODUCT(('📥 Raw Data'!$E$2:$E$5000=$B$2)*('📥 Raw Data'!$L$2:$L$5000=A5)*('📥 Raw Data'!$R$2:$R$5000))</f>
        <v>342203</v>
      </c>
      <c r="C5" s="38" t="n">
        <f aca="false">IFERROR(B5/B13,"-")</f>
        <v>0.182473202616052</v>
      </c>
      <c r="D5" s="47" t="n">
        <f aca="false">SUMPRODUCT(('📥 Raw Data'!$E$2:$E$5000=$D$2)*('📥 Raw Data'!$L$2:$L$5000=A5)*('📥 Raw Data'!$R$2:$R$5000))</f>
        <v>0</v>
      </c>
      <c r="E5" s="38" t="n">
        <f aca="false">IFERROR(D5/D13,"-")</f>
        <v>0</v>
      </c>
      <c r="F5" s="47" t="n">
        <f aca="false">SUMPRODUCT(('📥 Raw Data'!$E$2:$E$5000=$F$2)*('📥 Raw Data'!$L$2:$L$5000=A5)*('📥 Raw Data'!$R$2:$R$5000))</f>
        <v>0</v>
      </c>
      <c r="G5" s="38" t="str">
        <f aca="false">IFERROR(F5/F13,"-")</f>
        <v>-</v>
      </c>
      <c r="H5" s="47" t="n">
        <f aca="false">SUMPRODUCT(('📥 Raw Data'!$E$2:$E$5000=$H$2)*('📥 Raw Data'!$L$2:$L$5000=A5)*('📥 Raw Data'!$R$2:$R$5000))</f>
        <v>0</v>
      </c>
      <c r="I5" s="38" t="str">
        <f aca="false">IFERROR(H5/H13,"-")</f>
        <v>-</v>
      </c>
    </row>
    <row r="6" customFormat="false" ht="18" hidden="false" customHeight="true" outlineLevel="0" collapsed="false">
      <c r="A6" s="33" t="s">
        <v>71</v>
      </c>
      <c r="B6" s="46" t="n">
        <f aca="false">SUMPRODUCT(('📥 Raw Data'!$E$2:$E$5000=$B$2)*('📥 Raw Data'!$L$2:$L$5000=A6)*('📥 Raw Data'!$R$2:$R$5000))</f>
        <v>248097</v>
      </c>
      <c r="C6" s="35" t="n">
        <f aca="false">IFERROR(B6/B13,"-")</f>
        <v>0.132292978581236</v>
      </c>
      <c r="D6" s="46" t="n">
        <f aca="false">SUMPRODUCT(('📥 Raw Data'!$E$2:$E$5000=$D$2)*('📥 Raw Data'!$L$2:$L$5000=A6)*('📥 Raw Data'!$R$2:$R$5000))</f>
        <v>7136</v>
      </c>
      <c r="E6" s="35" t="n">
        <f aca="false">IFERROR(D6/D13,"-")</f>
        <v>0.044159126322577</v>
      </c>
      <c r="F6" s="46" t="n">
        <f aca="false">SUMPRODUCT(('📥 Raw Data'!$E$2:$E$5000=$F$2)*('📥 Raw Data'!$L$2:$L$5000=A6)*('📥 Raw Data'!$R$2:$R$5000))</f>
        <v>0</v>
      </c>
      <c r="G6" s="35" t="str">
        <f aca="false">IFERROR(F6/F13,"-")</f>
        <v>-</v>
      </c>
      <c r="H6" s="46" t="n">
        <f aca="false">SUMPRODUCT(('📥 Raw Data'!$E$2:$E$5000=$H$2)*('📥 Raw Data'!$L$2:$L$5000=A6)*('📥 Raw Data'!$R$2:$R$5000))</f>
        <v>0</v>
      </c>
      <c r="I6" s="35" t="str">
        <f aca="false">IFERROR(H6/H13,"-")</f>
        <v>-</v>
      </c>
    </row>
    <row r="7" customFormat="false" ht="18" hidden="false" customHeight="true" outlineLevel="0" collapsed="false">
      <c r="A7" s="36" t="s">
        <v>87</v>
      </c>
      <c r="B7" s="47" t="n">
        <f aca="false">SUMPRODUCT(('📥 Raw Data'!$E$2:$E$5000=$B$2)*('📥 Raw Data'!$L$2:$L$5000=A7)*('📥 Raw Data'!$R$2:$R$5000))</f>
        <v>94191.48</v>
      </c>
      <c r="C7" s="38" t="n">
        <f aca="false">IFERROR(B7/B13,"-")</f>
        <v>0.0502258046093863</v>
      </c>
      <c r="D7" s="47" t="n">
        <f aca="false">SUMPRODUCT(('📥 Raw Data'!$E$2:$E$5000=$D$2)*('📥 Raw Data'!$L$2:$L$5000=A7)*('📥 Raw Data'!$R$2:$R$5000))</f>
        <v>110940.4</v>
      </c>
      <c r="E7" s="38" t="n">
        <f aca="false">IFERROR(D7/D13,"-")</f>
        <v>0.686523421787727</v>
      </c>
      <c r="F7" s="47" t="n">
        <f aca="false">SUMPRODUCT(('📥 Raw Data'!$E$2:$E$5000=$F$2)*('📥 Raw Data'!$L$2:$L$5000=A7)*('📥 Raw Data'!$R$2:$R$5000))</f>
        <v>0</v>
      </c>
      <c r="G7" s="38" t="str">
        <f aca="false">IFERROR(F7/F13,"-")</f>
        <v>-</v>
      </c>
      <c r="H7" s="47" t="n">
        <f aca="false">SUMPRODUCT(('📥 Raw Data'!$E$2:$E$5000=$H$2)*('📥 Raw Data'!$L$2:$L$5000=A7)*('📥 Raw Data'!$R$2:$R$5000))</f>
        <v>0</v>
      </c>
      <c r="I7" s="38" t="str">
        <f aca="false">IFERROR(H7/H13,"-")</f>
        <v>-</v>
      </c>
    </row>
    <row r="8" customFormat="false" ht="18" hidden="false" customHeight="true" outlineLevel="0" collapsed="false">
      <c r="A8" s="33" t="s">
        <v>45</v>
      </c>
      <c r="B8" s="46" t="n">
        <f aca="false">SUMPRODUCT(('📥 Raw Data'!$E$2:$E$5000=$B$2)*('📥 Raw Data'!$L$2:$L$5000=A8)*('📥 Raw Data'!$R$2:$R$5000))</f>
        <v>131985.82</v>
      </c>
      <c r="C8" s="35" t="n">
        <f aca="false">IFERROR(B8/B13,"-")</f>
        <v>0.0703789133213495</v>
      </c>
      <c r="D8" s="46" t="n">
        <f aca="false">SUMPRODUCT(('📥 Raw Data'!$E$2:$E$5000=$D$2)*('📥 Raw Data'!$L$2:$L$5000=A8)*('📥 Raw Data'!$R$2:$R$5000))</f>
        <v>0</v>
      </c>
      <c r="E8" s="35" t="n">
        <f aca="false">IFERROR(D8/D13,"-")</f>
        <v>0</v>
      </c>
      <c r="F8" s="46" t="n">
        <f aca="false">SUMPRODUCT(('📥 Raw Data'!$E$2:$E$5000=$F$2)*('📥 Raw Data'!$L$2:$L$5000=A8)*('📥 Raw Data'!$R$2:$R$5000))</f>
        <v>0</v>
      </c>
      <c r="G8" s="35" t="str">
        <f aca="false">IFERROR(F8/F13,"-")</f>
        <v>-</v>
      </c>
      <c r="H8" s="46" t="n">
        <f aca="false">SUMPRODUCT(('📥 Raw Data'!$E$2:$E$5000=$H$2)*('📥 Raw Data'!$L$2:$L$5000=A8)*('📥 Raw Data'!$R$2:$R$5000))</f>
        <v>0</v>
      </c>
      <c r="I8" s="35" t="str">
        <f aca="false">IFERROR(H8/H13,"-")</f>
        <v>-</v>
      </c>
    </row>
    <row r="9" customFormat="false" ht="18" hidden="false" customHeight="true" outlineLevel="0" collapsed="false">
      <c r="A9" s="36" t="s">
        <v>54</v>
      </c>
      <c r="B9" s="47" t="n">
        <f aca="false">SUMPRODUCT(('📥 Raw Data'!$E$2:$E$5000=$B$2)*('📥 Raw Data'!$L$2:$L$5000=A9)*('📥 Raw Data'!$R$2:$R$5000))</f>
        <v>119671</v>
      </c>
      <c r="C9" s="38" t="n">
        <f aca="false">IFERROR(B9/B13,"-")</f>
        <v>0.0638122711673058</v>
      </c>
      <c r="D9" s="47" t="n">
        <f aca="false">SUMPRODUCT(('📥 Raw Data'!$E$2:$E$5000=$D$2)*('📥 Raw Data'!$L$2:$L$5000=A9)*('📥 Raw Data'!$R$2:$R$5000))</f>
        <v>0</v>
      </c>
      <c r="E9" s="38" t="n">
        <f aca="false">IFERROR(D9/D13,"-")</f>
        <v>0</v>
      </c>
      <c r="F9" s="47" t="n">
        <f aca="false">SUMPRODUCT(('📥 Raw Data'!$E$2:$E$5000=$F$2)*('📥 Raw Data'!$L$2:$L$5000=A9)*('📥 Raw Data'!$R$2:$R$5000))</f>
        <v>0</v>
      </c>
      <c r="G9" s="38" t="str">
        <f aca="false">IFERROR(F9/F13,"-")</f>
        <v>-</v>
      </c>
      <c r="H9" s="47" t="n">
        <f aca="false">SUMPRODUCT(('📥 Raw Data'!$E$2:$E$5000=$H$2)*('📥 Raw Data'!$L$2:$L$5000=A9)*('📥 Raw Data'!$R$2:$R$5000))</f>
        <v>0</v>
      </c>
      <c r="I9" s="38" t="str">
        <f aca="false">IFERROR(H9/H13,"-")</f>
        <v>-</v>
      </c>
    </row>
    <row r="10" customFormat="false" ht="18" hidden="false" customHeight="true" outlineLevel="0" collapsed="false">
      <c r="A10" s="33" t="s">
        <v>63</v>
      </c>
      <c r="B10" s="46" t="n">
        <f aca="false">SUMPRODUCT(('📥 Raw Data'!$E$2:$E$5000=$B$2)*('📥 Raw Data'!$L$2:$L$5000=A10)*('📥 Raw Data'!$R$2:$R$5000))</f>
        <v>13506</v>
      </c>
      <c r="C10" s="35" t="n">
        <f aca="false">IFERROR(B10/B13,"-")</f>
        <v>0.00720181609901841</v>
      </c>
      <c r="D10" s="46" t="n">
        <f aca="false">SUMPRODUCT(('📥 Raw Data'!$E$2:$E$5000=$D$2)*('📥 Raw Data'!$L$2:$L$5000=A10)*('📥 Raw Data'!$R$2:$R$5000))</f>
        <v>0</v>
      </c>
      <c r="E10" s="35" t="n">
        <f aca="false">IFERROR(D10/D13,"-")</f>
        <v>0</v>
      </c>
      <c r="F10" s="46" t="n">
        <f aca="false">SUMPRODUCT(('📥 Raw Data'!$E$2:$E$5000=$F$2)*('📥 Raw Data'!$L$2:$L$5000=A10)*('📥 Raw Data'!$R$2:$R$5000))</f>
        <v>0</v>
      </c>
      <c r="G10" s="35" t="str">
        <f aca="false">IFERROR(F10/F13,"-")</f>
        <v>-</v>
      </c>
      <c r="H10" s="46" t="n">
        <f aca="false">SUMPRODUCT(('📥 Raw Data'!$E$2:$E$5000=$H$2)*('📥 Raw Data'!$L$2:$L$5000=A10)*('📥 Raw Data'!$R$2:$R$5000))</f>
        <v>0</v>
      </c>
      <c r="I10" s="35" t="str">
        <f aca="false">IFERROR(H10/H13,"-")</f>
        <v>-</v>
      </c>
    </row>
    <row r="11" customFormat="false" ht="18" hidden="false" customHeight="true" outlineLevel="0" collapsed="false">
      <c r="A11" s="36" t="s">
        <v>211</v>
      </c>
      <c r="B11" s="47" t="n">
        <f aca="false">SUMPRODUCT(('📥 Raw Data'!$E$2:$E$5000=$B$2)*('📥 Raw Data'!$L$2:$L$5000=A11)*('📥 Raw Data'!$R$2:$R$5000))</f>
        <v>9950</v>
      </c>
      <c r="C11" s="38" t="n">
        <f aca="false">IFERROR(B11/B13,"-")</f>
        <v>0.00530564713351349</v>
      </c>
      <c r="D11" s="47" t="n">
        <f aca="false">SUMPRODUCT(('📥 Raw Data'!$E$2:$E$5000=$D$2)*('📥 Raw Data'!$L$2:$L$5000=A11)*('📥 Raw Data'!$R$2:$R$5000))</f>
        <v>0</v>
      </c>
      <c r="E11" s="38" t="n">
        <f aca="false">IFERROR(D11/D13,"-")</f>
        <v>0</v>
      </c>
      <c r="F11" s="47" t="n">
        <f aca="false">SUMPRODUCT(('📥 Raw Data'!$E$2:$E$5000=$F$2)*('📥 Raw Data'!$L$2:$L$5000=A11)*('📥 Raw Data'!$R$2:$R$5000))</f>
        <v>0</v>
      </c>
      <c r="G11" s="38" t="str">
        <f aca="false">IFERROR(F11/F13,"-")</f>
        <v>-</v>
      </c>
      <c r="H11" s="47" t="n">
        <f aca="false">SUMPRODUCT(('📥 Raw Data'!$E$2:$E$5000=$H$2)*('📥 Raw Data'!$L$2:$L$5000=A11)*('📥 Raw Data'!$R$2:$R$5000))</f>
        <v>0</v>
      </c>
      <c r="I11" s="38" t="str">
        <f aca="false">IFERROR(H11/H13,"-")</f>
        <v>-</v>
      </c>
    </row>
    <row r="12" customFormat="false" ht="18" hidden="false" customHeight="true" outlineLevel="0" collapsed="false">
      <c r="A12" s="33" t="s">
        <v>249</v>
      </c>
      <c r="B12" s="46" t="n">
        <f aca="false">SUMPRODUCT(('📥 Raw Data'!$E$2:$E$5000=$B$2)*('📥 Raw Data'!$L$2:$L$5000=A12)*('📥 Raw Data'!$R$2:$R$5000))</f>
        <v>1790</v>
      </c>
      <c r="C12" s="35" t="n">
        <f aca="false">IFERROR(B12/B13,"-")</f>
        <v>0.000954483253164739</v>
      </c>
      <c r="D12" s="46" t="n">
        <f aca="false">SUMPRODUCT(('📥 Raw Data'!$E$2:$E$5000=$D$2)*('📥 Raw Data'!$L$2:$L$5000=A12)*('📥 Raw Data'!$R$2:$R$5000))</f>
        <v>0</v>
      </c>
      <c r="E12" s="35" t="n">
        <f aca="false">IFERROR(D12/D13,"-")</f>
        <v>0</v>
      </c>
      <c r="F12" s="46" t="n">
        <f aca="false">SUMPRODUCT(('📥 Raw Data'!$E$2:$E$5000=$F$2)*('📥 Raw Data'!$L$2:$L$5000=A12)*('📥 Raw Data'!$R$2:$R$5000))</f>
        <v>0</v>
      </c>
      <c r="G12" s="35" t="str">
        <f aca="false">IFERROR(F12/F13,"-")</f>
        <v>-</v>
      </c>
      <c r="H12" s="46" t="n">
        <f aca="false">SUMPRODUCT(('📥 Raw Data'!$E$2:$E$5000=$H$2)*('📥 Raw Data'!$L$2:$L$5000=A12)*('📥 Raw Data'!$R$2:$R$5000))</f>
        <v>0</v>
      </c>
      <c r="I12" s="35" t="str">
        <f aca="false">IFERROR(H12/H13,"-")</f>
        <v>-</v>
      </c>
    </row>
    <row r="13" customFormat="false" ht="19.5" hidden="false" customHeight="true" outlineLevel="0" collapsed="false">
      <c r="A13" s="48" t="s">
        <v>368</v>
      </c>
      <c r="B13" s="49" t="n">
        <f aca="false">SUM(B4:B12)</f>
        <v>1875360.3</v>
      </c>
      <c r="C13" s="54" t="s">
        <v>375</v>
      </c>
      <c r="D13" s="49" t="n">
        <f aca="false">SUM(D4:D12)</f>
        <v>161597.4</v>
      </c>
      <c r="E13" s="54" t="s">
        <v>375</v>
      </c>
      <c r="F13" s="49" t="n">
        <f aca="false">SUM(F4:F12)</f>
        <v>0</v>
      </c>
      <c r="G13" s="54" t="s">
        <v>375</v>
      </c>
      <c r="H13" s="49" t="n">
        <f aca="false">SUM(H4:H12)</f>
        <v>0</v>
      </c>
      <c r="I13" s="54" t="s">
        <v>375</v>
      </c>
    </row>
  </sheetData>
  <mergeCells count="5">
    <mergeCell ref="A1:K1"/>
    <mergeCell ref="B2:C2"/>
    <mergeCell ref="D2:E2"/>
    <mergeCell ref="F2:G2"/>
    <mergeCell ref="H2:I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2026-04-27T03:57:55Z</dcterms:created>
  <dc:creator>openpyxl</dc:creator>
  <dc:description/>
  <dc:language>en-US</dc:language>
  <cp:lastModifiedBy/>
  <dcterms:modified xsi:type="dcterms:W3CDTF">2026-04-27T03:57:55Z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